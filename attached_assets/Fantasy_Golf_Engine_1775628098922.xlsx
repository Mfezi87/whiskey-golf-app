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10betcom-my.sharepoint.com/personal/sebastian_l_10bet_com/Documents/Desktop/Personal/"/>
    </mc:Choice>
  </mc:AlternateContent>
  <xr:revisionPtr revIDLastSave="10" documentId="8_{BB6ABF1D-8816-47AA-9961-D41A8E604487}" xr6:coauthVersionLast="47" xr6:coauthVersionMax="47" xr10:uidLastSave="{4560DE4F-84A0-40AE-9677-5CC925950F70}"/>
  <bookViews>
    <workbookView xWindow="-80" yWindow="-80" windowWidth="19360" windowHeight="11440" activeTab="4" xr2:uid="{00000000-000D-0000-FFFF-FFFF00000000}"/>
  </bookViews>
  <sheets>
    <sheet name="Rules" sheetId="1" r:id="rId1"/>
    <sheet name="Config" sheetId="2" r:id="rId2"/>
    <sheet name="Field" sheetId="3" r:id="rId3"/>
    <sheet name="Odd Rankings" sheetId="7" r:id="rId4"/>
    <sheet name="Draft" sheetId="4" r:id="rId5"/>
    <sheet name="Results" sheetId="5" r:id="rId6"/>
    <sheet name="Leaderboard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5" l="1"/>
  <c r="AF5" i="5"/>
  <c r="P7" i="5"/>
  <c r="D2" i="3"/>
  <c r="E4" i="4" s="1"/>
  <c r="D3" i="3"/>
  <c r="D4" i="3"/>
  <c r="D5" i="3"/>
  <c r="D6" i="3"/>
  <c r="D7" i="3"/>
  <c r="D8" i="3"/>
  <c r="D9" i="3"/>
  <c r="D10" i="3"/>
  <c r="D11" i="3"/>
  <c r="D12" i="3"/>
  <c r="D13" i="3"/>
  <c r="D14" i="3"/>
  <c r="E6" i="4" s="1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P4" i="4"/>
  <c r="E5" i="4"/>
  <c r="E7" i="4"/>
  <c r="H28" i="3"/>
  <c r="H2" i="3"/>
  <c r="H5" i="3"/>
  <c r="H9" i="3"/>
  <c r="H10" i="3"/>
  <c r="H8" i="3"/>
  <c r="H15" i="3"/>
  <c r="H12" i="3"/>
  <c r="H13" i="3"/>
  <c r="H6" i="3"/>
  <c r="H22" i="3"/>
  <c r="H20" i="3"/>
  <c r="H33" i="3"/>
  <c r="H11" i="3"/>
  <c r="H29" i="3"/>
  <c r="H47" i="3"/>
  <c r="H7" i="3"/>
  <c r="H31" i="3"/>
  <c r="H49" i="3"/>
  <c r="H39" i="3"/>
  <c r="H23" i="3"/>
  <c r="H21" i="3"/>
  <c r="H16" i="3"/>
  <c r="H4" i="3"/>
  <c r="H14" i="3"/>
  <c r="H50" i="3"/>
  <c r="H32" i="3"/>
  <c r="H17" i="3"/>
  <c r="H45" i="3"/>
  <c r="H3" i="3"/>
  <c r="H36" i="3"/>
  <c r="H25" i="3"/>
  <c r="H38" i="3"/>
  <c r="H43" i="3"/>
  <c r="H24" i="3"/>
  <c r="H27" i="3"/>
  <c r="H37" i="3"/>
  <c r="H48" i="3"/>
  <c r="H55" i="3"/>
  <c r="H67" i="3"/>
  <c r="H34" i="3"/>
  <c r="H26" i="3"/>
  <c r="H60" i="3"/>
  <c r="H35" i="3"/>
  <c r="H53" i="3"/>
  <c r="H61" i="3"/>
  <c r="H74" i="3"/>
  <c r="H70" i="3"/>
  <c r="H63" i="3"/>
  <c r="H51" i="3"/>
  <c r="H57" i="3"/>
  <c r="H42" i="3"/>
  <c r="H30" i="3"/>
  <c r="H73" i="3"/>
  <c r="H44" i="3"/>
  <c r="H65" i="3"/>
  <c r="H18" i="3"/>
  <c r="H52" i="3"/>
  <c r="H71" i="3"/>
  <c r="H58" i="3"/>
  <c r="H72" i="3"/>
  <c r="H56" i="3"/>
  <c r="H40" i="3"/>
  <c r="H62" i="3"/>
  <c r="H54" i="3"/>
  <c r="H69" i="3"/>
  <c r="H68" i="3"/>
  <c r="H80" i="3"/>
  <c r="H78" i="3"/>
  <c r="H66" i="3"/>
  <c r="H46" i="3"/>
  <c r="H19" i="3"/>
  <c r="H41" i="3"/>
  <c r="H77" i="3"/>
  <c r="H64" i="3"/>
  <c r="H81" i="3"/>
  <c r="H79" i="3"/>
  <c r="H76" i="3"/>
  <c r="H59" i="3"/>
  <c r="H75" i="3"/>
  <c r="H86" i="3"/>
  <c r="H84" i="3"/>
  <c r="H92" i="3"/>
  <c r="H91" i="3"/>
  <c r="H85" i="3"/>
  <c r="H89" i="3"/>
  <c r="H83" i="3"/>
  <c r="H82" i="3"/>
  <c r="H90" i="3"/>
  <c r="H87" i="3"/>
  <c r="H88" i="3"/>
  <c r="AA7" i="5"/>
  <c r="Z7" i="5"/>
  <c r="S7" i="5"/>
  <c r="R7" i="5"/>
  <c r="AF7" i="5" s="1"/>
  <c r="K7" i="5"/>
  <c r="J7" i="5"/>
  <c r="C7" i="5"/>
  <c r="B7" i="5"/>
  <c r="AA6" i="5"/>
  <c r="Z6" i="5"/>
  <c r="S6" i="5"/>
  <c r="R6" i="5"/>
  <c r="AF6" i="5" s="1"/>
  <c r="K6" i="5"/>
  <c r="J6" i="5"/>
  <c r="C6" i="5"/>
  <c r="B6" i="5"/>
  <c r="P6" i="5" s="1"/>
  <c r="AA5" i="5"/>
  <c r="Z5" i="5"/>
  <c r="S5" i="5"/>
  <c r="R5" i="5"/>
  <c r="J5" i="5"/>
  <c r="K5" i="5" s="1"/>
  <c r="C5" i="5"/>
  <c r="B5" i="5"/>
  <c r="P5" i="5" s="1"/>
  <c r="AA4" i="5"/>
  <c r="Z4" i="5"/>
  <c r="R4" i="5"/>
  <c r="AF4" i="5" s="1"/>
  <c r="K4" i="5"/>
  <c r="J4" i="5"/>
  <c r="C4" i="5"/>
  <c r="B4" i="5"/>
  <c r="P4" i="5" s="1"/>
  <c r="P12" i="4"/>
  <c r="M12" i="4"/>
  <c r="E12" i="4"/>
  <c r="B12" i="4"/>
  <c r="U7" i="4"/>
  <c r="T7" i="4"/>
  <c r="S7" i="4"/>
  <c r="P7" i="4"/>
  <c r="O7" i="4"/>
  <c r="N7" i="4"/>
  <c r="Q7" i="4" s="1"/>
  <c r="J7" i="4"/>
  <c r="H7" i="4"/>
  <c r="D7" i="4"/>
  <c r="C7" i="4"/>
  <c r="I7" i="4" s="1"/>
  <c r="U6" i="4"/>
  <c r="S6" i="4"/>
  <c r="P6" i="4"/>
  <c r="O6" i="4"/>
  <c r="N6" i="4"/>
  <c r="Q6" i="4" s="1"/>
  <c r="J6" i="4"/>
  <c r="H6" i="4"/>
  <c r="D6" i="4"/>
  <c r="C6" i="4"/>
  <c r="I6" i="4" s="1"/>
  <c r="U5" i="4"/>
  <c r="S5" i="4"/>
  <c r="P5" i="4"/>
  <c r="O5" i="4"/>
  <c r="N5" i="4"/>
  <c r="Q5" i="4" s="1"/>
  <c r="J5" i="4"/>
  <c r="H5" i="4"/>
  <c r="D5" i="4"/>
  <c r="C5" i="4"/>
  <c r="I5" i="4" s="1"/>
  <c r="U4" i="4"/>
  <c r="S4" i="4"/>
  <c r="O4" i="4"/>
  <c r="N4" i="4"/>
  <c r="T4" i="4" s="1"/>
  <c r="J4" i="4"/>
  <c r="H4" i="4"/>
  <c r="D4" i="4"/>
  <c r="C4" i="4"/>
  <c r="I4" i="4" s="1"/>
  <c r="F7" i="6" l="1"/>
  <c r="F6" i="6"/>
  <c r="E7" i="6"/>
  <c r="E6" i="6"/>
  <c r="E4" i="6"/>
  <c r="F5" i="6"/>
  <c r="E5" i="6"/>
  <c r="T6" i="4"/>
  <c r="T5" i="4"/>
  <c r="P14" i="4"/>
  <c r="M15" i="4"/>
  <c r="M14" i="4"/>
  <c r="M16" i="4"/>
  <c r="F5" i="4"/>
  <c r="F7" i="4"/>
  <c r="B15" i="4"/>
  <c r="F6" i="4"/>
  <c r="P15" i="4"/>
  <c r="B14" i="4"/>
  <c r="E14" i="4"/>
  <c r="M13" i="4"/>
  <c r="Q4" i="4"/>
  <c r="M17" i="4" s="1"/>
  <c r="F4" i="4"/>
  <c r="B13" i="4"/>
  <c r="B5" i="6"/>
  <c r="F4" i="6"/>
  <c r="E15" i="4"/>
  <c r="B16" i="4"/>
  <c r="P13" i="4" l="1"/>
  <c r="B4" i="6"/>
  <c r="E8" i="6" s="1"/>
  <c r="B17" i="4"/>
  <c r="E13" i="4" s="1"/>
  <c r="B6" i="6" l="1"/>
</calcChain>
</file>

<file path=xl/sharedStrings.xml><?xml version="1.0" encoding="utf-8"?>
<sst xmlns="http://schemas.openxmlformats.org/spreadsheetml/2006/main" count="782" uniqueCount="214">
  <si>
    <t>Fantasy Golf Game – Masters 2026</t>
  </si>
  <si>
    <t>Hybrid snake draft + salary cap for 2 players. One major-ready workbook.</t>
  </si>
  <si>
    <t>Core rules</t>
  </si>
  <si>
    <t>1. Each side drafts 4 golfers. No duplicates across the 8 drafted golfers.</t>
  </si>
  <si>
    <t>2. Team must include at least 1 USA player, 1 European player, 1 Rest of World player, and 1 player ranked outside the top 30.</t>
  </si>
  <si>
    <t>3. Salary cap uses pre-tournament OWGR ranking bands. Default cap is editable on Config sheet.</t>
  </si>
  <si>
    <t>4. Pick exactly 1 captain per side. Captain doubles the full slot score, including penalties.</t>
  </si>
  <si>
    <t>5. If a drafted golfer misses the cut, that slot gets the missed-cut penalty and may use 1 replacement.</t>
  </si>
  <si>
    <t>6. Replacements cannot be current top-10 players by ranking.</t>
  </si>
  <si>
    <t>7. Finish-position points only score down to 50th place.</t>
  </si>
  <si>
    <t>Scoring</t>
  </si>
  <si>
    <t>1st = 100, 2nd = 80, 3rd = 70, 4th = 60, 5th = 50, 6th–50th descend by 1 point per place (6th = 48 ... 50th = 4).</t>
  </si>
  <si>
    <t>Birdie bonus = +2, Eagle bonus = +5, Bogey penalty = -1, Missed cut penalty = -20.</t>
  </si>
  <si>
    <t>How the workbook works</t>
  </si>
  <si>
    <t>Draft sheet: use the dropdowns to select players and captain flags. Validation panels show whether each team is legal.</t>
  </si>
  <si>
    <t>Results sheet: enter finish position and birdie/eagle/bogey counts. If a player missed the cut, set MC=Y and optionally choose a replacement.</t>
  </si>
  <si>
    <t>Leaderboard sheet: totals, winner, and slot-by-slot comparison update automatically.</t>
  </si>
  <si>
    <t>Sources</t>
  </si>
  <si>
    <t>https://www.masters.com/en_US/players/player_list.html</t>
  </si>
  <si>
    <t>https://www.masters.com/en_US/players/invitees_2026/index.html</t>
  </si>
  <si>
    <t>https://www.owgr.com/events/masters-tournament-11286</t>
  </si>
  <si>
    <t>Setting</t>
  </si>
  <si>
    <t>Value</t>
  </si>
  <si>
    <t>Notes</t>
  </si>
  <si>
    <t>Salary Cap</t>
  </si>
  <si>
    <t>Editable total salary cap per team</t>
  </si>
  <si>
    <t>Birdie Bonus</t>
  </si>
  <si>
    <t>Points per birdie</t>
  </si>
  <si>
    <t>Eagle Bonus</t>
  </si>
  <si>
    <t>Points per eagle</t>
  </si>
  <si>
    <t>Bogey Penalty</t>
  </si>
  <si>
    <t>Points per bogey</t>
  </si>
  <si>
    <t>Missed Cut Penalty</t>
  </si>
  <si>
    <t>Applied when MC = Y</t>
  </si>
  <si>
    <t>Captain Multiplier</t>
  </si>
  <si>
    <t>Captain doubles the full slot score</t>
  </si>
  <si>
    <t>Replacement Top-10 Lockout</t>
  </si>
  <si>
    <t>Replacement rank must be &gt; this number</t>
  </si>
  <si>
    <t>Finish Position</t>
  </si>
  <si>
    <t>Points</t>
  </si>
  <si>
    <t>Player</t>
  </si>
  <si>
    <t>OWGR Rank</t>
  </si>
  <si>
    <t>Region</t>
  </si>
  <si>
    <t>Salary</t>
  </si>
  <si>
    <t>Top 10?</t>
  </si>
  <si>
    <t>Outside Top 30?</t>
  </si>
  <si>
    <t>Source</t>
  </si>
  <si>
    <t>Scottie Scheffler</t>
  </si>
  <si>
    <t>USA</t>
  </si>
  <si>
    <t>Y</t>
  </si>
  <si>
    <t>N</t>
  </si>
  <si>
    <t>OWGR event field breakdown</t>
  </si>
  <si>
    <t>Rory McIlroy</t>
  </si>
  <si>
    <t>EU</t>
  </si>
  <si>
    <t>Cameron Young</t>
  </si>
  <si>
    <t>Tommy Fleetwood</t>
  </si>
  <si>
    <t>Matt Fitzpatrick</t>
  </si>
  <si>
    <t>Collin Morikawa</t>
  </si>
  <si>
    <t>Robert MacIntyre</t>
  </si>
  <si>
    <t>Justin Rose</t>
  </si>
  <si>
    <t>Xander Schauffele</t>
  </si>
  <si>
    <t>Russell Henley</t>
  </si>
  <si>
    <t>Sepp Straka</t>
  </si>
  <si>
    <t>Hideki Matsuyama</t>
  </si>
  <si>
    <t>ROW</t>
  </si>
  <si>
    <t>Justin Thomas</t>
  </si>
  <si>
    <t>Ben Griffin</t>
  </si>
  <si>
    <t>Ludvig Aberg</t>
  </si>
  <si>
    <t>Jacob Bridgeman</t>
  </si>
  <si>
    <t>Alex Noren</t>
  </si>
  <si>
    <t>Harris English</t>
  </si>
  <si>
    <t>Viktor Hovland</t>
  </si>
  <si>
    <t>Patrick Reed</t>
  </si>
  <si>
    <t>Bryson DeChambeau</t>
  </si>
  <si>
    <t>Min Woo Lee</t>
  </si>
  <si>
    <t>Keegan Bradley</t>
  </si>
  <si>
    <t>Maverick McNealy</t>
  </si>
  <si>
    <t>Si Woo Kim</t>
  </si>
  <si>
    <t>Ryan Gerard</t>
  </si>
  <si>
    <t>Jon Rahm</t>
  </si>
  <si>
    <t>Tyrrell Hatton</t>
  </si>
  <si>
    <t>Shane Lowry</t>
  </si>
  <si>
    <t>Sam Burns</t>
  </si>
  <si>
    <t>Kurt Kitayama</t>
  </si>
  <si>
    <t>Patrick Cantlay</t>
  </si>
  <si>
    <t>Nicolai Hojgaard</t>
  </si>
  <si>
    <t>Marco Penge</t>
  </si>
  <si>
    <t>Daniel Berger</t>
  </si>
  <si>
    <t>Aaron Rai</t>
  </si>
  <si>
    <t>Jason Day</t>
  </si>
  <si>
    <t>Jake Knapp</t>
  </si>
  <si>
    <t>Michael Kim</t>
  </si>
  <si>
    <t>Corey Conners</t>
  </si>
  <si>
    <t>Kristoffer Reitan</t>
  </si>
  <si>
    <t>Michael Brennan</t>
  </si>
  <si>
    <t>Andrew Novak</t>
  </si>
  <si>
    <t>Matt McCarty</t>
  </si>
  <si>
    <t>Brian Harman</t>
  </si>
  <si>
    <t>Ryan Fox</t>
  </si>
  <si>
    <t>Gary Woodland</t>
  </si>
  <si>
    <t>Adam Scott</t>
  </si>
  <si>
    <t>Sami Valimaki</t>
  </si>
  <si>
    <t>Rasmus Hojgaard</t>
  </si>
  <si>
    <t>Max Greyserman</t>
  </si>
  <si>
    <t>Jordan Spieth</t>
  </si>
  <si>
    <t>Harry Hall</t>
  </si>
  <si>
    <t>John Keefer</t>
  </si>
  <si>
    <t>Nick Taylor</t>
  </si>
  <si>
    <t>Rasmus Neergaard-Petersen</t>
  </si>
  <si>
    <t>Casey Jarvis</t>
  </si>
  <si>
    <t>Sungjae Im</t>
  </si>
  <si>
    <t>Aldrich Potgieter</t>
  </si>
  <si>
    <t>Wyndham Clark</t>
  </si>
  <si>
    <t>Tom McKibbin</t>
  </si>
  <si>
    <t>Brian Campbell</t>
  </si>
  <si>
    <t>Davis Riley</t>
  </si>
  <si>
    <t>Carlos Ortiz</t>
  </si>
  <si>
    <t>Max Homa</t>
  </si>
  <si>
    <t>Brooks Koepka</t>
  </si>
  <si>
    <t>Cameron Smith</t>
  </si>
  <si>
    <t>Zach Johnson</t>
  </si>
  <si>
    <t>Sergio Garcia</t>
  </si>
  <si>
    <t>Naoyuki Kataoka</t>
  </si>
  <si>
    <t>Danny Willett</t>
  </si>
  <si>
    <t>Charl Schwartzel</t>
  </si>
  <si>
    <t>Dustin Johnson</t>
  </si>
  <si>
    <t>Bubba Watson</t>
  </si>
  <si>
    <t>Vijay Singh</t>
  </si>
  <si>
    <t>Angel Cabrera</t>
  </si>
  <si>
    <t>Mike Weir</t>
  </si>
  <si>
    <t>Fred Couples</t>
  </si>
  <si>
    <t>NR</t>
  </si>
  <si>
    <t>Player 1 Draft</t>
  </si>
  <si>
    <t>Player 2 Draft</t>
  </si>
  <si>
    <t>Slot</t>
  </si>
  <si>
    <t>Captain</t>
  </si>
  <si>
    <t>Duplicate?</t>
  </si>
  <si>
    <t>Replacement Eligible?</t>
  </si>
  <si>
    <t>Team 1 Validation</t>
  </si>
  <si>
    <t>Team 2 Validation</t>
  </si>
  <si>
    <t>Metric</t>
  </si>
  <si>
    <t>Status</t>
  </si>
  <si>
    <t>Players Selected</t>
  </si>
  <si>
    <t>Captain Count</t>
  </si>
  <si>
    <t>Draft Valid?</t>
  </si>
  <si>
    <t>1 USA</t>
  </si>
  <si>
    <t>Team Salary</t>
  </si>
  <si>
    <t>1 European</t>
  </si>
  <si>
    <t>Duplicates Present?</t>
  </si>
  <si>
    <t>1 Rest of World</t>
  </si>
  <si>
    <t>1 Outside Top 30</t>
  </si>
  <si>
    <t>Player 1 Results</t>
  </si>
  <si>
    <t>Player 2 Results</t>
  </si>
  <si>
    <t>Original Player</t>
  </si>
  <si>
    <t>Finish Pos</t>
  </si>
  <si>
    <t>Birdies</t>
  </si>
  <si>
    <t>Eagles</t>
  </si>
  <si>
    <t>Bogeys</t>
  </si>
  <si>
    <t>MC?</t>
  </si>
  <si>
    <t>Replacement</t>
  </si>
  <si>
    <t>Rep Rank</t>
  </si>
  <si>
    <t>Rep OK?</t>
  </si>
  <si>
    <t>Rep Finish</t>
  </si>
  <si>
    <t>Rep Birdies</t>
  </si>
  <si>
    <t>Rep Eagles</t>
  </si>
  <si>
    <t>Rep Bogeys</t>
  </si>
  <si>
    <t>Slot Total</t>
  </si>
  <si>
    <t>Masters Fantasy Leaderboard</t>
  </si>
  <si>
    <t>Player 1</t>
  </si>
  <si>
    <t>Player 2</t>
  </si>
  <si>
    <t>Player 1 Total</t>
  </si>
  <si>
    <t>Player 2 Total</t>
  </si>
  <si>
    <t>Winner</t>
  </si>
  <si>
    <t>How to play</t>
  </si>
  <si>
    <t>Diff</t>
  </si>
  <si>
    <t>1</t>
  </si>
  <si>
    <t>Pick 4 golfers per side on Draft</t>
  </si>
  <si>
    <t>2</t>
  </si>
  <si>
    <t>Watch validation panel until team is VALID</t>
  </si>
  <si>
    <t>3</t>
  </si>
  <si>
    <t>Enter results and replacements on Results</t>
  </si>
  <si>
    <t>4</t>
  </si>
  <si>
    <t>Read winner here</t>
  </si>
  <si>
    <t>Golfer</t>
  </si>
  <si>
    <t>bet365</t>
  </si>
  <si>
    <t>Betway</t>
  </si>
  <si>
    <t>William Hill</t>
  </si>
  <si>
    <t>10bet</t>
  </si>
  <si>
    <t>Unibet</t>
  </si>
  <si>
    <t>Betfred</t>
  </si>
  <si>
    <t>888sport</t>
  </si>
  <si>
    <t>Spreadex</t>
  </si>
  <si>
    <t>Ladbrokes</t>
  </si>
  <si>
    <t>BetVictor</t>
  </si>
  <si>
    <t>BetMGM UK</t>
  </si>
  <si>
    <t>Winner aggregateed</t>
  </si>
  <si>
    <t>Christopher Gotterup</t>
  </si>
  <si>
    <t>Akhshay Bhatia</t>
  </si>
  <si>
    <t>J.J Spaun</t>
  </si>
  <si>
    <t>Sam Stevens</t>
  </si>
  <si>
    <t>Nico Echavarria</t>
  </si>
  <si>
    <t>Tom Mckibbin</t>
  </si>
  <si>
    <t>Hao Tong Li</t>
  </si>
  <si>
    <t>Mason Howell</t>
  </si>
  <si>
    <t>Ethan Fang</t>
  </si>
  <si>
    <t>Fifa Laopakdee</t>
  </si>
  <si>
    <t>Brandon Holtz</t>
  </si>
  <si>
    <t>Jackson Herrington</t>
  </si>
  <si>
    <t>Mateo Pulcini</t>
  </si>
  <si>
    <t>Jose Maria Olazabal</t>
  </si>
  <si>
    <t>Odds</t>
  </si>
  <si>
    <t>ZX</t>
  </si>
  <si>
    <t>Seb Draft</t>
  </si>
  <si>
    <t>Nick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</si>
</sst>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2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eldTable" displayName="FieldTable" ref="A1:H92">
  <autoFilter ref="A1:H92" xr:uid="{00000000-000C-0000-FFFF-FFFF00000000}"/>
  <sortState xmlns:xlrd2="http://schemas.microsoft.com/office/spreadsheetml/2017/richdata2" ref="A2:H92">
    <sortCondition ref="H1:H92"/>
  </sortState>
  <tableColumns count="8">
    <tableColumn id="1" xr3:uid="{00000000-0010-0000-0000-000001000000}" name="Player"/>
    <tableColumn id="2" xr3:uid="{00000000-0010-0000-0000-000002000000}" name="OWGR Rank"/>
    <tableColumn id="3" xr3:uid="{00000000-0010-0000-0000-000003000000}" name="Region"/>
    <tableColumn id="4" xr3:uid="{00000000-0010-0000-0000-000004000000}" name="Salary" dataDxfId="0">
      <calculatedColumnFormula>30 - ((ROW(A1) - ROW($A$1)) * 0.3)</calculatedColumnFormula>
    </tableColumn>
    <tableColumn id="5" xr3:uid="{00000000-0010-0000-0000-000005000000}" name="Top 10?"/>
    <tableColumn id="6" xr3:uid="{00000000-0010-0000-0000-000006000000}" name="Outside Top 30?"/>
    <tableColumn id="7" xr3:uid="{00000000-0010-0000-0000-000007000000}" name="Source"/>
    <tableColumn id="8" xr3:uid="{6E3A65BB-5C15-4C43-AC4E-558302078732}" name="Odds" dataDxfId="1">
      <calculatedColumnFormula>VLOOKUP(FieldTable[[#This Row],[Player]],'Odd Rankings'!A:M,13,FALSE)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B24" sqref="B24"/>
    </sheetView>
  </sheetViews>
  <sheetFormatPr defaultRowHeight="14"/>
  <cols>
    <col min="1" max="1" width="110" customWidth="1"/>
  </cols>
  <sheetData>
    <row r="1" spans="1:6" ht="14" customHeight="1">
      <c r="A1" s="7" t="s">
        <v>0</v>
      </c>
      <c r="B1" s="8"/>
      <c r="C1" s="8"/>
      <c r="D1" s="8"/>
      <c r="E1" s="8"/>
      <c r="F1" s="8"/>
    </row>
    <row r="2" spans="1:6" ht="14" customHeight="1">
      <c r="A2" s="1" t="s">
        <v>1</v>
      </c>
    </row>
    <row r="3" spans="1:6" ht="14" customHeight="1">
      <c r="A3" s="1"/>
    </row>
    <row r="4" spans="1:6" ht="14" customHeight="1">
      <c r="A4" s="2" t="s">
        <v>2</v>
      </c>
    </row>
    <row r="5" spans="1:6" ht="14" customHeight="1">
      <c r="A5" s="1" t="s">
        <v>3</v>
      </c>
    </row>
    <row r="6" spans="1:6" ht="14" customHeight="1">
      <c r="A6" s="1" t="s">
        <v>4</v>
      </c>
    </row>
    <row r="7" spans="1:6" ht="14" customHeight="1">
      <c r="A7" s="1" t="s">
        <v>5</v>
      </c>
    </row>
    <row r="8" spans="1:6" ht="14" customHeight="1">
      <c r="A8" s="1" t="s">
        <v>6</v>
      </c>
    </row>
    <row r="9" spans="1:6" ht="14" customHeight="1">
      <c r="A9" s="1" t="s">
        <v>7</v>
      </c>
    </row>
    <row r="10" spans="1:6" ht="14" customHeight="1">
      <c r="A10" s="1" t="s">
        <v>8</v>
      </c>
    </row>
    <row r="11" spans="1:6" ht="14" customHeight="1">
      <c r="A11" s="1" t="s">
        <v>9</v>
      </c>
    </row>
    <row r="12" spans="1:6" ht="14" customHeight="1">
      <c r="A12" s="1"/>
    </row>
    <row r="13" spans="1:6" ht="14" customHeight="1">
      <c r="A13" s="2" t="s">
        <v>10</v>
      </c>
    </row>
    <row r="14" spans="1:6" ht="14" customHeight="1">
      <c r="A14" s="1" t="s">
        <v>11</v>
      </c>
    </row>
    <row r="15" spans="1:6" ht="14" customHeight="1">
      <c r="A15" s="1" t="s">
        <v>12</v>
      </c>
    </row>
    <row r="16" spans="1:6" ht="14" customHeight="1">
      <c r="A16" s="1"/>
    </row>
    <row r="17" spans="1:1" ht="14" customHeight="1">
      <c r="A17" s="2" t="s">
        <v>13</v>
      </c>
    </row>
    <row r="18" spans="1:1" ht="14" customHeight="1">
      <c r="A18" s="1" t="s">
        <v>14</v>
      </c>
    </row>
    <row r="19" spans="1:1" ht="14" customHeight="1">
      <c r="A19" s="1" t="s">
        <v>15</v>
      </c>
    </row>
    <row r="20" spans="1:1" ht="14" customHeight="1">
      <c r="A20" s="1" t="s">
        <v>16</v>
      </c>
    </row>
    <row r="21" spans="1:1" ht="14" customHeight="1">
      <c r="A21" s="1"/>
    </row>
    <row r="22" spans="1:1" ht="14" customHeight="1">
      <c r="A22" s="2" t="s">
        <v>17</v>
      </c>
    </row>
    <row r="23" spans="1:1" ht="14" customHeight="1">
      <c r="A23" s="1" t="s">
        <v>18</v>
      </c>
    </row>
    <row r="24" spans="1:1" ht="14" customHeight="1">
      <c r="A24" s="1" t="s">
        <v>19</v>
      </c>
    </row>
    <row r="25" spans="1:1" ht="14" customHeight="1">
      <c r="A25" s="1" t="s">
        <v>20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workbookViewId="0">
      <selection activeCell="B6" sqref="B6"/>
    </sheetView>
  </sheetViews>
  <sheetFormatPr defaultRowHeight="14"/>
  <cols>
    <col min="1" max="3" width="28" customWidth="1"/>
  </cols>
  <sheetData>
    <row r="1" spans="1:3">
      <c r="A1" s="4" t="s">
        <v>21</v>
      </c>
      <c r="B1" s="4" t="s">
        <v>22</v>
      </c>
      <c r="C1" s="4" t="s">
        <v>23</v>
      </c>
    </row>
    <row r="2" spans="1:3">
      <c r="A2" s="1" t="s">
        <v>24</v>
      </c>
      <c r="B2" s="1">
        <v>100</v>
      </c>
      <c r="C2" s="1" t="s">
        <v>25</v>
      </c>
    </row>
    <row r="3" spans="1:3">
      <c r="A3" s="1" t="s">
        <v>26</v>
      </c>
      <c r="B3" s="1">
        <v>2</v>
      </c>
      <c r="C3" s="1" t="s">
        <v>27</v>
      </c>
    </row>
    <row r="4" spans="1:3">
      <c r="A4" s="1" t="s">
        <v>28</v>
      </c>
      <c r="B4" s="1">
        <v>5</v>
      </c>
      <c r="C4" s="1" t="s">
        <v>29</v>
      </c>
    </row>
    <row r="5" spans="1:3">
      <c r="A5" s="1" t="s">
        <v>30</v>
      </c>
      <c r="B5" s="1">
        <v>-1</v>
      </c>
      <c r="C5" s="1" t="s">
        <v>31</v>
      </c>
    </row>
    <row r="6" spans="1:3">
      <c r="A6" s="1" t="s">
        <v>32</v>
      </c>
      <c r="B6" s="1">
        <v>-20</v>
      </c>
      <c r="C6" s="1" t="s">
        <v>33</v>
      </c>
    </row>
    <row r="7" spans="1:3">
      <c r="A7" s="1" t="s">
        <v>34</v>
      </c>
      <c r="B7" s="1">
        <v>2</v>
      </c>
      <c r="C7" s="1" t="s">
        <v>35</v>
      </c>
    </row>
    <row r="8" spans="1:3" ht="28">
      <c r="A8" s="1" t="s">
        <v>36</v>
      </c>
      <c r="B8" s="1">
        <v>10</v>
      </c>
      <c r="C8" s="1" t="s">
        <v>37</v>
      </c>
    </row>
    <row r="10" spans="1:3">
      <c r="A10" s="3" t="s">
        <v>38</v>
      </c>
      <c r="B10" s="3" t="s">
        <v>39</v>
      </c>
    </row>
    <row r="11" spans="1:3">
      <c r="A11">
        <v>1</v>
      </c>
      <c r="B11">
        <v>100</v>
      </c>
    </row>
    <row r="12" spans="1:3">
      <c r="A12">
        <v>2</v>
      </c>
      <c r="B12">
        <v>80</v>
      </c>
    </row>
    <row r="13" spans="1:3">
      <c r="A13">
        <v>3</v>
      </c>
      <c r="B13">
        <v>70</v>
      </c>
    </row>
    <row r="14" spans="1:3">
      <c r="A14">
        <v>4</v>
      </c>
      <c r="B14">
        <v>60</v>
      </c>
    </row>
    <row r="15" spans="1:3">
      <c r="A15">
        <v>5</v>
      </c>
      <c r="B15">
        <v>50</v>
      </c>
    </row>
    <row r="16" spans="1:3">
      <c r="A16">
        <v>6</v>
      </c>
      <c r="B16">
        <v>48</v>
      </c>
    </row>
    <row r="17" spans="1:2">
      <c r="A17">
        <v>7</v>
      </c>
      <c r="B17">
        <v>47</v>
      </c>
    </row>
    <row r="18" spans="1:2">
      <c r="A18">
        <v>8</v>
      </c>
      <c r="B18">
        <v>46</v>
      </c>
    </row>
    <row r="19" spans="1:2">
      <c r="A19">
        <v>9</v>
      </c>
      <c r="B19">
        <v>45</v>
      </c>
    </row>
    <row r="20" spans="1:2">
      <c r="A20">
        <v>10</v>
      </c>
      <c r="B20">
        <v>44</v>
      </c>
    </row>
    <row r="21" spans="1:2">
      <c r="A21">
        <v>11</v>
      </c>
      <c r="B21">
        <v>43</v>
      </c>
    </row>
    <row r="22" spans="1:2">
      <c r="A22">
        <v>12</v>
      </c>
      <c r="B22">
        <v>42</v>
      </c>
    </row>
    <row r="23" spans="1:2">
      <c r="A23">
        <v>13</v>
      </c>
      <c r="B23">
        <v>41</v>
      </c>
    </row>
    <row r="24" spans="1:2">
      <c r="A24">
        <v>14</v>
      </c>
      <c r="B24">
        <v>40</v>
      </c>
    </row>
    <row r="25" spans="1:2">
      <c r="A25">
        <v>15</v>
      </c>
      <c r="B25">
        <v>39</v>
      </c>
    </row>
    <row r="26" spans="1:2">
      <c r="A26">
        <v>16</v>
      </c>
      <c r="B26">
        <v>38</v>
      </c>
    </row>
    <row r="27" spans="1:2">
      <c r="A27">
        <v>17</v>
      </c>
      <c r="B27">
        <v>37</v>
      </c>
    </row>
    <row r="28" spans="1:2">
      <c r="A28">
        <v>18</v>
      </c>
      <c r="B28">
        <v>36</v>
      </c>
    </row>
    <row r="29" spans="1:2">
      <c r="A29">
        <v>19</v>
      </c>
      <c r="B29">
        <v>35</v>
      </c>
    </row>
    <row r="30" spans="1:2">
      <c r="A30">
        <v>20</v>
      </c>
      <c r="B30">
        <v>34</v>
      </c>
    </row>
    <row r="31" spans="1:2">
      <c r="A31">
        <v>21</v>
      </c>
      <c r="B31">
        <v>33</v>
      </c>
    </row>
    <row r="32" spans="1:2">
      <c r="A32">
        <v>22</v>
      </c>
      <c r="B32">
        <v>32</v>
      </c>
    </row>
    <row r="33" spans="1:2">
      <c r="A33">
        <v>23</v>
      </c>
      <c r="B33">
        <v>31</v>
      </c>
    </row>
    <row r="34" spans="1:2">
      <c r="A34">
        <v>24</v>
      </c>
      <c r="B34">
        <v>30</v>
      </c>
    </row>
    <row r="35" spans="1:2">
      <c r="A35">
        <v>25</v>
      </c>
      <c r="B35">
        <v>29</v>
      </c>
    </row>
    <row r="36" spans="1:2">
      <c r="A36">
        <v>26</v>
      </c>
      <c r="B36">
        <v>28</v>
      </c>
    </row>
    <row r="37" spans="1:2">
      <c r="A37">
        <v>27</v>
      </c>
      <c r="B37">
        <v>27</v>
      </c>
    </row>
    <row r="38" spans="1:2">
      <c r="A38">
        <v>28</v>
      </c>
      <c r="B38">
        <v>26</v>
      </c>
    </row>
    <row r="39" spans="1:2">
      <c r="A39">
        <v>29</v>
      </c>
      <c r="B39">
        <v>25</v>
      </c>
    </row>
    <row r="40" spans="1:2">
      <c r="A40">
        <v>30</v>
      </c>
      <c r="B40">
        <v>24</v>
      </c>
    </row>
    <row r="41" spans="1:2">
      <c r="A41">
        <v>31</v>
      </c>
      <c r="B41">
        <v>23</v>
      </c>
    </row>
    <row r="42" spans="1:2">
      <c r="A42">
        <v>32</v>
      </c>
      <c r="B42">
        <v>22</v>
      </c>
    </row>
    <row r="43" spans="1:2">
      <c r="A43">
        <v>33</v>
      </c>
      <c r="B43">
        <v>21</v>
      </c>
    </row>
    <row r="44" spans="1:2">
      <c r="A44">
        <v>34</v>
      </c>
      <c r="B44">
        <v>20</v>
      </c>
    </row>
    <row r="45" spans="1:2">
      <c r="A45">
        <v>35</v>
      </c>
      <c r="B45">
        <v>19</v>
      </c>
    </row>
    <row r="46" spans="1:2">
      <c r="A46">
        <v>36</v>
      </c>
      <c r="B46">
        <v>18</v>
      </c>
    </row>
    <row r="47" spans="1:2">
      <c r="A47">
        <v>37</v>
      </c>
      <c r="B47">
        <v>17</v>
      </c>
    </row>
    <row r="48" spans="1:2">
      <c r="A48">
        <v>38</v>
      </c>
      <c r="B48">
        <v>16</v>
      </c>
    </row>
    <row r="49" spans="1:2">
      <c r="A49">
        <v>39</v>
      </c>
      <c r="B49">
        <v>15</v>
      </c>
    </row>
    <row r="50" spans="1:2">
      <c r="A50">
        <v>40</v>
      </c>
      <c r="B50">
        <v>14</v>
      </c>
    </row>
    <row r="51" spans="1:2">
      <c r="A51">
        <v>41</v>
      </c>
      <c r="B51">
        <v>13</v>
      </c>
    </row>
    <row r="52" spans="1:2">
      <c r="A52">
        <v>42</v>
      </c>
      <c r="B52">
        <v>12</v>
      </c>
    </row>
    <row r="53" spans="1:2">
      <c r="A53">
        <v>43</v>
      </c>
      <c r="B53">
        <v>11</v>
      </c>
    </row>
    <row r="54" spans="1:2">
      <c r="A54">
        <v>44</v>
      </c>
      <c r="B54">
        <v>10</v>
      </c>
    </row>
    <row r="55" spans="1:2">
      <c r="A55">
        <v>45</v>
      </c>
      <c r="B55">
        <v>9</v>
      </c>
    </row>
    <row r="56" spans="1:2">
      <c r="A56">
        <v>46</v>
      </c>
      <c r="B56">
        <v>8</v>
      </c>
    </row>
    <row r="57" spans="1:2">
      <c r="A57">
        <v>47</v>
      </c>
      <c r="B57">
        <v>7</v>
      </c>
    </row>
    <row r="58" spans="1:2">
      <c r="A58">
        <v>48</v>
      </c>
      <c r="B58">
        <v>6</v>
      </c>
    </row>
    <row r="59" spans="1:2">
      <c r="A59">
        <v>49</v>
      </c>
      <c r="B59">
        <v>5</v>
      </c>
    </row>
    <row r="60" spans="1:2">
      <c r="A60">
        <v>50</v>
      </c>
      <c r="B6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selection activeCell="D2" sqref="D2:D92"/>
    </sheetView>
  </sheetViews>
  <sheetFormatPr defaultRowHeight="14"/>
  <cols>
    <col min="1" max="1" width="28" customWidth="1"/>
    <col min="2" max="6" width="14" customWidth="1"/>
    <col min="7" max="7" width="26" customWidth="1"/>
  </cols>
  <sheetData>
    <row r="1" spans="1:8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t="s">
        <v>210</v>
      </c>
    </row>
    <row r="2" spans="1:8">
      <c r="A2" t="s">
        <v>47</v>
      </c>
      <c r="B2">
        <v>1</v>
      </c>
      <c r="C2" t="s">
        <v>48</v>
      </c>
      <c r="D2">
        <f t="shared" ref="D2:D33" si="0">30 - ((ROW(A1) - ROW($A$1)) * 0.3)</f>
        <v>30</v>
      </c>
      <c r="E2" t="s">
        <v>49</v>
      </c>
      <c r="F2" t="s">
        <v>50</v>
      </c>
      <c r="G2" t="s">
        <v>51</v>
      </c>
      <c r="H2">
        <f>VLOOKUP(FieldTable[[#This Row],[Player]],'Odd Rankings'!A:M,13,FALSE)</f>
        <v>6.5909090909090908</v>
      </c>
    </row>
    <row r="3" spans="1:8">
      <c r="A3" t="s">
        <v>79</v>
      </c>
      <c r="B3">
        <v>30</v>
      </c>
      <c r="C3" t="s">
        <v>53</v>
      </c>
      <c r="D3">
        <f t="shared" si="0"/>
        <v>29.7</v>
      </c>
      <c r="E3" t="s">
        <v>49</v>
      </c>
      <c r="F3" t="s">
        <v>50</v>
      </c>
      <c r="G3" t="s">
        <v>51</v>
      </c>
      <c r="H3">
        <f>VLOOKUP(FieldTable[[#This Row],[Player]],'Odd Rankings'!A:M,13,FALSE)</f>
        <v>11.181818181818182</v>
      </c>
    </row>
    <row r="4" spans="1:8">
      <c r="A4" t="s">
        <v>73</v>
      </c>
      <c r="B4">
        <v>24</v>
      </c>
      <c r="C4" t="s">
        <v>48</v>
      </c>
      <c r="D4">
        <f t="shared" si="0"/>
        <v>29.4</v>
      </c>
      <c r="E4" t="s">
        <v>49</v>
      </c>
      <c r="F4" t="s">
        <v>50</v>
      </c>
      <c r="G4" t="s">
        <v>51</v>
      </c>
      <c r="H4">
        <f>VLOOKUP(FieldTable[[#This Row],[Player]],'Odd Rankings'!A:M,13,FALSE)</f>
        <v>12.272727272727273</v>
      </c>
    </row>
    <row r="5" spans="1:8">
      <c r="A5" t="s">
        <v>52</v>
      </c>
      <c r="B5">
        <v>2</v>
      </c>
      <c r="C5" t="s">
        <v>53</v>
      </c>
      <c r="D5">
        <f t="shared" si="0"/>
        <v>29.1</v>
      </c>
      <c r="E5" t="s">
        <v>49</v>
      </c>
      <c r="F5" t="s">
        <v>50</v>
      </c>
      <c r="G5" t="s">
        <v>51</v>
      </c>
      <c r="H5">
        <f>VLOOKUP(FieldTable[[#This Row],[Player]],'Odd Rankings'!A:M,13,FALSE)</f>
        <v>13.454545454545455</v>
      </c>
    </row>
    <row r="6" spans="1:8">
      <c r="A6" t="s">
        <v>60</v>
      </c>
      <c r="B6">
        <v>10</v>
      </c>
      <c r="C6" t="s">
        <v>48</v>
      </c>
      <c r="D6">
        <f t="shared" si="0"/>
        <v>28.8</v>
      </c>
      <c r="E6" t="s">
        <v>49</v>
      </c>
      <c r="F6" t="s">
        <v>50</v>
      </c>
      <c r="G6" t="s">
        <v>51</v>
      </c>
      <c r="H6">
        <f>VLOOKUP(FieldTable[[#This Row],[Player]],'Odd Rankings'!A:M,13,FALSE)</f>
        <v>14.090909090909092</v>
      </c>
    </row>
    <row r="7" spans="1:8">
      <c r="A7" t="s">
        <v>67</v>
      </c>
      <c r="B7">
        <v>17</v>
      </c>
      <c r="C7" t="s">
        <v>53</v>
      </c>
      <c r="D7">
        <f t="shared" si="0"/>
        <v>28.5</v>
      </c>
      <c r="E7" t="s">
        <v>49</v>
      </c>
      <c r="F7" t="s">
        <v>50</v>
      </c>
      <c r="G7" t="s">
        <v>51</v>
      </c>
      <c r="H7">
        <f>VLOOKUP(FieldTable[[#This Row],[Player]],'Odd Rankings'!A:M,13,FALSE)</f>
        <v>16.272727272727273</v>
      </c>
    </row>
    <row r="8" spans="1:8">
      <c r="A8" t="s">
        <v>56</v>
      </c>
      <c r="B8">
        <v>6</v>
      </c>
      <c r="C8" t="s">
        <v>53</v>
      </c>
      <c r="D8">
        <f t="shared" si="0"/>
        <v>28.2</v>
      </c>
      <c r="E8" t="s">
        <v>49</v>
      </c>
      <c r="F8" t="s">
        <v>50</v>
      </c>
      <c r="G8" t="s">
        <v>51</v>
      </c>
      <c r="H8">
        <f>VLOOKUP(FieldTable[[#This Row],[Player]],'Odd Rankings'!A:M,13,FALSE)</f>
        <v>19.181818181818183</v>
      </c>
    </row>
    <row r="9" spans="1:8">
      <c r="A9" t="s">
        <v>54</v>
      </c>
      <c r="B9">
        <v>3</v>
      </c>
      <c r="C9" t="s">
        <v>48</v>
      </c>
      <c r="D9">
        <f t="shared" si="0"/>
        <v>27.9</v>
      </c>
      <c r="E9" t="s">
        <v>49</v>
      </c>
      <c r="F9" t="s">
        <v>50</v>
      </c>
      <c r="G9" t="s">
        <v>51</v>
      </c>
      <c r="H9">
        <f>VLOOKUP(FieldTable[[#This Row],[Player]],'Odd Rankings'!A:M,13,FALSE)</f>
        <v>19.363636363636363</v>
      </c>
    </row>
    <row r="10" spans="1:8">
      <c r="A10" t="s">
        <v>55</v>
      </c>
      <c r="B10">
        <v>4</v>
      </c>
      <c r="C10" t="s">
        <v>53</v>
      </c>
      <c r="D10">
        <f t="shared" si="0"/>
        <v>27.6</v>
      </c>
      <c r="E10" t="s">
        <v>49</v>
      </c>
      <c r="F10" t="s">
        <v>50</v>
      </c>
      <c r="G10" t="s">
        <v>51</v>
      </c>
      <c r="H10">
        <f>VLOOKUP(FieldTable[[#This Row],[Player]],'Odd Rankings'!A:M,13,FALSE)</f>
        <v>19.90909090909091</v>
      </c>
    </row>
    <row r="11" spans="1:8">
      <c r="A11" t="s">
        <v>63</v>
      </c>
      <c r="B11">
        <v>14</v>
      </c>
      <c r="C11" t="s">
        <v>64</v>
      </c>
      <c r="D11">
        <f t="shared" si="0"/>
        <v>27.3</v>
      </c>
      <c r="E11" t="s">
        <v>49</v>
      </c>
      <c r="F11" t="s">
        <v>50</v>
      </c>
      <c r="G11" t="s">
        <v>51</v>
      </c>
      <c r="H11">
        <f>VLOOKUP(FieldTable[[#This Row],[Player]],'Odd Rankings'!A:M,13,FALSE)</f>
        <v>26</v>
      </c>
    </row>
    <row r="12" spans="1:8">
      <c r="A12" t="s">
        <v>58</v>
      </c>
      <c r="B12">
        <v>8</v>
      </c>
      <c r="C12" t="s">
        <v>53</v>
      </c>
      <c r="D12">
        <f t="shared" si="0"/>
        <v>27</v>
      </c>
      <c r="E12" t="s">
        <v>50</v>
      </c>
      <c r="F12" t="s">
        <v>50</v>
      </c>
      <c r="G12" t="s">
        <v>51</v>
      </c>
      <c r="H12">
        <f>VLOOKUP(FieldTable[[#This Row],[Player]],'Odd Rankings'!A:M,13,FALSE)</f>
        <v>27</v>
      </c>
    </row>
    <row r="13" spans="1:8">
      <c r="A13" t="s">
        <v>59</v>
      </c>
      <c r="B13">
        <v>9</v>
      </c>
      <c r="C13" t="s">
        <v>53</v>
      </c>
      <c r="D13">
        <f t="shared" si="0"/>
        <v>26.7</v>
      </c>
      <c r="E13" t="s">
        <v>50</v>
      </c>
      <c r="F13" t="s">
        <v>50</v>
      </c>
      <c r="G13" t="s">
        <v>51</v>
      </c>
      <c r="H13">
        <f>VLOOKUP(FieldTable[[#This Row],[Player]],'Odd Rankings'!A:M,13,FALSE)</f>
        <v>27.363636363636363</v>
      </c>
    </row>
    <row r="14" spans="1:8">
      <c r="A14" t="s">
        <v>74</v>
      </c>
      <c r="B14">
        <v>25</v>
      </c>
      <c r="C14" t="s">
        <v>64</v>
      </c>
      <c r="D14">
        <f t="shared" si="0"/>
        <v>26.4</v>
      </c>
      <c r="E14" t="s">
        <v>50</v>
      </c>
      <c r="F14" t="s">
        <v>50</v>
      </c>
      <c r="G14" t="s">
        <v>51</v>
      </c>
      <c r="H14">
        <f>VLOOKUP(FieldTable[[#This Row],[Player]],'Odd Rankings'!A:M,13,FALSE)</f>
        <v>31.90909090909091</v>
      </c>
    </row>
    <row r="15" spans="1:8">
      <c r="A15" t="s">
        <v>57</v>
      </c>
      <c r="B15">
        <v>7</v>
      </c>
      <c r="C15" t="s">
        <v>48</v>
      </c>
      <c r="D15">
        <f t="shared" si="0"/>
        <v>26.1</v>
      </c>
      <c r="E15" t="s">
        <v>50</v>
      </c>
      <c r="F15" t="s">
        <v>50</v>
      </c>
      <c r="G15" t="s">
        <v>51</v>
      </c>
      <c r="H15">
        <f>VLOOKUP(FieldTable[[#This Row],[Player]],'Odd Rankings'!A:M,13,FALSE)</f>
        <v>34.81818181818182</v>
      </c>
    </row>
    <row r="16" spans="1:8">
      <c r="A16" t="s">
        <v>72</v>
      </c>
      <c r="B16">
        <v>23</v>
      </c>
      <c r="C16" t="s">
        <v>48</v>
      </c>
      <c r="D16">
        <f t="shared" si="0"/>
        <v>25.8</v>
      </c>
      <c r="E16" t="s">
        <v>50</v>
      </c>
      <c r="F16" t="s">
        <v>50</v>
      </c>
      <c r="G16" t="s">
        <v>51</v>
      </c>
      <c r="H16">
        <f>VLOOKUP(FieldTable[[#This Row],[Player]],'Odd Rankings'!A:M,13,FALSE)</f>
        <v>36.454545454545453</v>
      </c>
    </row>
    <row r="17" spans="1:8">
      <c r="A17" t="s">
        <v>77</v>
      </c>
      <c r="B17">
        <v>28</v>
      </c>
      <c r="C17" t="s">
        <v>64</v>
      </c>
      <c r="D17">
        <f t="shared" si="0"/>
        <v>25.5</v>
      </c>
      <c r="E17" t="s">
        <v>50</v>
      </c>
      <c r="F17" t="s">
        <v>50</v>
      </c>
      <c r="G17" t="s">
        <v>51</v>
      </c>
      <c r="H17">
        <f>VLOOKUP(FieldTable[[#This Row],[Player]],'Odd Rankings'!A:M,13,FALSE)</f>
        <v>42.18181818181818</v>
      </c>
    </row>
    <row r="18" spans="1:8">
      <c r="A18" t="s">
        <v>104</v>
      </c>
      <c r="B18">
        <v>61</v>
      </c>
      <c r="C18" t="s">
        <v>48</v>
      </c>
      <c r="D18">
        <f t="shared" si="0"/>
        <v>25.2</v>
      </c>
      <c r="E18" t="s">
        <v>50</v>
      </c>
      <c r="F18" t="s">
        <v>50</v>
      </c>
      <c r="G18" t="s">
        <v>51</v>
      </c>
      <c r="H18">
        <f>VLOOKUP(FieldTable[[#This Row],[Player]],'Odd Rankings'!A:M,13,FALSE)</f>
        <v>42.363636363636367</v>
      </c>
    </row>
    <row r="19" spans="1:8">
      <c r="A19" t="s">
        <v>118</v>
      </c>
      <c r="B19">
        <v>169</v>
      </c>
      <c r="C19" t="s">
        <v>48</v>
      </c>
      <c r="D19">
        <f t="shared" si="0"/>
        <v>24.9</v>
      </c>
      <c r="E19" t="s">
        <v>50</v>
      </c>
      <c r="F19" t="s">
        <v>50</v>
      </c>
      <c r="G19" t="s">
        <v>51</v>
      </c>
      <c r="H19">
        <f>VLOOKUP(FieldTable[[#This Row],[Player]],'Odd Rankings'!A:M,13,FALSE)</f>
        <v>42.363636363636367</v>
      </c>
    </row>
    <row r="20" spans="1:8">
      <c r="A20" t="s">
        <v>61</v>
      </c>
      <c r="B20">
        <v>12</v>
      </c>
      <c r="C20" t="s">
        <v>48</v>
      </c>
      <c r="D20">
        <f t="shared" si="0"/>
        <v>24.6</v>
      </c>
      <c r="E20" t="s">
        <v>50</v>
      </c>
      <c r="F20" t="s">
        <v>50</v>
      </c>
      <c r="G20" t="s">
        <v>51</v>
      </c>
      <c r="H20">
        <f>VLOOKUP(FieldTable[[#This Row],[Player]],'Odd Rankings'!A:M,13,FALSE)</f>
        <v>46.727272727272727</v>
      </c>
    </row>
    <row r="21" spans="1:8">
      <c r="A21" t="s">
        <v>71</v>
      </c>
      <c r="B21">
        <v>22</v>
      </c>
      <c r="C21" t="s">
        <v>53</v>
      </c>
      <c r="D21">
        <f t="shared" si="0"/>
        <v>24.3</v>
      </c>
      <c r="E21" t="s">
        <v>50</v>
      </c>
      <c r="F21" t="s">
        <v>50</v>
      </c>
      <c r="G21" t="s">
        <v>51</v>
      </c>
      <c r="H21">
        <f>VLOOKUP(FieldTable[[#This Row],[Player]],'Odd Rankings'!A:M,13,FALSE)</f>
        <v>48.090909090909093</v>
      </c>
    </row>
    <row r="22" spans="1:8">
      <c r="A22" t="s">
        <v>196</v>
      </c>
      <c r="B22">
        <v>11</v>
      </c>
      <c r="C22" t="s">
        <v>48</v>
      </c>
      <c r="D22">
        <f t="shared" si="0"/>
        <v>24</v>
      </c>
      <c r="E22" t="s">
        <v>50</v>
      </c>
      <c r="F22" t="s">
        <v>50</v>
      </c>
      <c r="G22" t="s">
        <v>51</v>
      </c>
      <c r="H22">
        <f>VLOOKUP(FieldTable[[#This Row],[Player]],'Odd Rankings'!A:M,13,FALSE)</f>
        <v>49.909090909090907</v>
      </c>
    </row>
    <row r="23" spans="1:8">
      <c r="A23" t="s">
        <v>197</v>
      </c>
      <c r="B23">
        <v>21</v>
      </c>
      <c r="C23" t="s">
        <v>48</v>
      </c>
      <c r="D23">
        <f t="shared" si="0"/>
        <v>23.7</v>
      </c>
      <c r="E23" t="s">
        <v>50</v>
      </c>
      <c r="F23" t="s">
        <v>50</v>
      </c>
      <c r="G23" t="s">
        <v>51</v>
      </c>
      <c r="H23">
        <f>VLOOKUP(FieldTable[[#This Row],[Player]],'Odd Rankings'!A:M,13,FALSE)</f>
        <v>56.090909090909093</v>
      </c>
    </row>
    <row r="24" spans="1:8">
      <c r="A24" t="s">
        <v>84</v>
      </c>
      <c r="B24">
        <v>35</v>
      </c>
      <c r="C24" t="s">
        <v>48</v>
      </c>
      <c r="D24">
        <f t="shared" si="0"/>
        <v>23.4</v>
      </c>
      <c r="E24" t="s">
        <v>50</v>
      </c>
      <c r="F24" t="s">
        <v>50</v>
      </c>
      <c r="G24" t="s">
        <v>51</v>
      </c>
      <c r="H24">
        <f>VLOOKUP(FieldTable[[#This Row],[Player]],'Odd Rankings'!A:M,13,FALSE)</f>
        <v>57.81818181818182</v>
      </c>
    </row>
    <row r="25" spans="1:8">
      <c r="A25" t="s">
        <v>81</v>
      </c>
      <c r="B25">
        <v>32</v>
      </c>
      <c r="C25" t="s">
        <v>53</v>
      </c>
      <c r="D25">
        <f t="shared" si="0"/>
        <v>23.1</v>
      </c>
      <c r="E25" t="s">
        <v>50</v>
      </c>
      <c r="F25" t="s">
        <v>50</v>
      </c>
      <c r="G25" t="s">
        <v>51</v>
      </c>
      <c r="H25">
        <f>VLOOKUP(FieldTable[[#This Row],[Player]],'Odd Rankings'!A:M,13,FALSE)</f>
        <v>58.272727272727273</v>
      </c>
    </row>
    <row r="26" spans="1:8">
      <c r="A26" t="s">
        <v>90</v>
      </c>
      <c r="B26">
        <v>42</v>
      </c>
      <c r="C26" t="s">
        <v>48</v>
      </c>
      <c r="D26">
        <f t="shared" si="0"/>
        <v>22.8</v>
      </c>
      <c r="E26" t="s">
        <v>50</v>
      </c>
      <c r="F26" t="s">
        <v>50</v>
      </c>
      <c r="G26" t="s">
        <v>51</v>
      </c>
      <c r="H26">
        <f>VLOOKUP(FieldTable[[#This Row],[Player]],'Odd Rankings'!A:M,13,FALSE)</f>
        <v>58.363636363636367</v>
      </c>
    </row>
    <row r="27" spans="1:8">
      <c r="A27" t="s">
        <v>85</v>
      </c>
      <c r="B27">
        <v>36</v>
      </c>
      <c r="C27" t="s">
        <v>53</v>
      </c>
      <c r="D27">
        <f t="shared" si="0"/>
        <v>22.5</v>
      </c>
      <c r="E27" t="s">
        <v>50</v>
      </c>
      <c r="F27" t="s">
        <v>50</v>
      </c>
      <c r="G27" t="s">
        <v>51</v>
      </c>
      <c r="H27">
        <f>VLOOKUP(FieldTable[[#This Row],[Player]],'Odd Rankings'!A:M,13,FALSE)</f>
        <v>60.545454545454547</v>
      </c>
    </row>
    <row r="28" spans="1:8">
      <c r="A28" t="s">
        <v>198</v>
      </c>
      <c r="B28">
        <v>5</v>
      </c>
      <c r="C28" t="s">
        <v>48</v>
      </c>
      <c r="D28">
        <f t="shared" si="0"/>
        <v>22.2</v>
      </c>
      <c r="E28" t="s">
        <v>50</v>
      </c>
      <c r="F28" t="s">
        <v>50</v>
      </c>
      <c r="G28" t="s">
        <v>51</v>
      </c>
      <c r="H28">
        <f>VLOOKUP(FieldTable[[#This Row],[Player]],'Odd Rankings'!A:M,13,FALSE)</f>
        <v>62.909090909090907</v>
      </c>
    </row>
    <row r="29" spans="1:8">
      <c r="A29" t="s">
        <v>65</v>
      </c>
      <c r="B29">
        <v>15</v>
      </c>
      <c r="C29" t="s">
        <v>48</v>
      </c>
      <c r="D29">
        <f t="shared" si="0"/>
        <v>21.9</v>
      </c>
      <c r="E29" t="s">
        <v>50</v>
      </c>
      <c r="F29" t="s">
        <v>50</v>
      </c>
      <c r="G29" t="s">
        <v>51</v>
      </c>
      <c r="H29">
        <f>VLOOKUP(FieldTable[[#This Row],[Player]],'Odd Rankings'!A:M,13,FALSE)</f>
        <v>63.545454545454547</v>
      </c>
    </row>
    <row r="30" spans="1:8">
      <c r="A30" t="s">
        <v>100</v>
      </c>
      <c r="B30">
        <v>53</v>
      </c>
      <c r="C30" t="s">
        <v>64</v>
      </c>
      <c r="D30">
        <f t="shared" si="0"/>
        <v>21.6</v>
      </c>
      <c r="E30" t="s">
        <v>50</v>
      </c>
      <c r="F30" t="s">
        <v>50</v>
      </c>
      <c r="G30" t="s">
        <v>51</v>
      </c>
      <c r="H30">
        <f>VLOOKUP(FieldTable[[#This Row],[Player]],'Odd Rankings'!A:M,13,FALSE)</f>
        <v>66.63636363636364</v>
      </c>
    </row>
    <row r="31" spans="1:8">
      <c r="A31" t="s">
        <v>68</v>
      </c>
      <c r="B31">
        <v>18</v>
      </c>
      <c r="C31" t="s">
        <v>48</v>
      </c>
      <c r="D31">
        <f t="shared" si="0"/>
        <v>21.3</v>
      </c>
      <c r="E31" t="s">
        <v>50</v>
      </c>
      <c r="F31" t="s">
        <v>50</v>
      </c>
      <c r="G31" t="s">
        <v>51</v>
      </c>
      <c r="H31">
        <f>VLOOKUP(FieldTable[[#This Row],[Player]],'Odd Rankings'!A:M,13,FALSE)</f>
        <v>68.454545454545453</v>
      </c>
    </row>
    <row r="32" spans="1:8">
      <c r="A32" t="s">
        <v>76</v>
      </c>
      <c r="B32">
        <v>27</v>
      </c>
      <c r="C32" t="s">
        <v>48</v>
      </c>
      <c r="D32">
        <f t="shared" si="0"/>
        <v>21</v>
      </c>
      <c r="E32" t="s">
        <v>50</v>
      </c>
      <c r="F32" t="s">
        <v>49</v>
      </c>
      <c r="G32" t="s">
        <v>51</v>
      </c>
      <c r="H32">
        <f>VLOOKUP(FieldTable[[#This Row],[Player]],'Odd Rankings'!A:M,13,FALSE)</f>
        <v>68.727272727272734</v>
      </c>
    </row>
    <row r="33" spans="1:8">
      <c r="A33" t="s">
        <v>62</v>
      </c>
      <c r="B33">
        <v>13</v>
      </c>
      <c r="C33" t="s">
        <v>53</v>
      </c>
      <c r="D33">
        <f t="shared" si="0"/>
        <v>20.700000000000003</v>
      </c>
      <c r="E33" t="s">
        <v>50</v>
      </c>
      <c r="F33" t="s">
        <v>49</v>
      </c>
      <c r="G33" t="s">
        <v>51</v>
      </c>
      <c r="H33">
        <f>VLOOKUP(FieldTable[[#This Row],[Player]],'Odd Rankings'!A:M,13,FALSE)</f>
        <v>69.181818181818187</v>
      </c>
    </row>
    <row r="34" spans="1:8">
      <c r="A34" t="s">
        <v>89</v>
      </c>
      <c r="B34">
        <v>41</v>
      </c>
      <c r="C34" t="s">
        <v>64</v>
      </c>
      <c r="D34">
        <f t="shared" ref="D34:D65" si="1">30 - ((ROW(A33) - ROW($A$1)) * 0.3)</f>
        <v>20.399999999999999</v>
      </c>
      <c r="E34" t="s">
        <v>50</v>
      </c>
      <c r="F34" t="s">
        <v>49</v>
      </c>
      <c r="G34" t="s">
        <v>51</v>
      </c>
      <c r="H34">
        <f>VLOOKUP(FieldTable[[#This Row],[Player]],'Odd Rankings'!A:M,13,FALSE)</f>
        <v>71.727272727272734</v>
      </c>
    </row>
    <row r="35" spans="1:8">
      <c r="A35" t="s">
        <v>92</v>
      </c>
      <c r="B35">
        <v>44</v>
      </c>
      <c r="C35" t="s">
        <v>64</v>
      </c>
      <c r="D35">
        <f t="shared" si="1"/>
        <v>20.100000000000001</v>
      </c>
      <c r="E35" t="s">
        <v>50</v>
      </c>
      <c r="F35" t="s">
        <v>49</v>
      </c>
      <c r="G35" t="s">
        <v>51</v>
      </c>
      <c r="H35">
        <f>VLOOKUP(FieldTable[[#This Row],[Player]],'Odd Rankings'!A:M,13,FALSE)</f>
        <v>71.818181818181813</v>
      </c>
    </row>
    <row r="36" spans="1:8">
      <c r="A36" t="s">
        <v>80</v>
      </c>
      <c r="B36">
        <v>31</v>
      </c>
      <c r="C36" t="s">
        <v>53</v>
      </c>
      <c r="D36">
        <f t="shared" si="1"/>
        <v>19.8</v>
      </c>
      <c r="E36" t="s">
        <v>50</v>
      </c>
      <c r="F36" t="s">
        <v>49</v>
      </c>
      <c r="G36" t="s">
        <v>51</v>
      </c>
      <c r="H36">
        <f>VLOOKUP(FieldTable[[#This Row],[Player]],'Odd Rankings'!A:M,13,FALSE)</f>
        <v>75.63636363636364</v>
      </c>
    </row>
    <row r="37" spans="1:8">
      <c r="A37" t="s">
        <v>86</v>
      </c>
      <c r="B37">
        <v>37</v>
      </c>
      <c r="C37" t="s">
        <v>53</v>
      </c>
      <c r="D37">
        <f t="shared" si="1"/>
        <v>19.5</v>
      </c>
      <c r="E37" t="s">
        <v>50</v>
      </c>
      <c r="F37" t="s">
        <v>49</v>
      </c>
      <c r="G37" t="s">
        <v>51</v>
      </c>
      <c r="H37">
        <f>VLOOKUP(FieldTable[[#This Row],[Player]],'Odd Rankings'!A:M,13,FALSE)</f>
        <v>75.909090909090907</v>
      </c>
    </row>
    <row r="38" spans="1:8">
      <c r="A38" t="s">
        <v>82</v>
      </c>
      <c r="B38">
        <v>33</v>
      </c>
      <c r="C38" t="s">
        <v>48</v>
      </c>
      <c r="D38">
        <f t="shared" si="1"/>
        <v>19.200000000000003</v>
      </c>
      <c r="E38" t="s">
        <v>50</v>
      </c>
      <c r="F38" t="s">
        <v>49</v>
      </c>
      <c r="G38" t="s">
        <v>51</v>
      </c>
      <c r="H38">
        <f>VLOOKUP(FieldTable[[#This Row],[Player]],'Odd Rankings'!A:M,13,FALSE)</f>
        <v>77.090909090909093</v>
      </c>
    </row>
    <row r="39" spans="1:8">
      <c r="A39" t="s">
        <v>70</v>
      </c>
      <c r="B39">
        <v>20</v>
      </c>
      <c r="C39" t="s">
        <v>48</v>
      </c>
      <c r="D39">
        <f t="shared" si="1"/>
        <v>18.899999999999999</v>
      </c>
      <c r="E39" t="s">
        <v>50</v>
      </c>
      <c r="F39" t="s">
        <v>49</v>
      </c>
      <c r="G39" t="s">
        <v>51</v>
      </c>
      <c r="H39">
        <f>VLOOKUP(FieldTable[[#This Row],[Player]],'Odd Rankings'!A:M,13,FALSE)</f>
        <v>81</v>
      </c>
    </row>
    <row r="40" spans="1:8">
      <c r="A40" t="s">
        <v>110</v>
      </c>
      <c r="B40">
        <v>71</v>
      </c>
      <c r="C40" t="s">
        <v>64</v>
      </c>
      <c r="D40">
        <f t="shared" si="1"/>
        <v>18.600000000000001</v>
      </c>
      <c r="E40" t="s">
        <v>50</v>
      </c>
      <c r="F40" t="s">
        <v>49</v>
      </c>
      <c r="G40" t="s">
        <v>51</v>
      </c>
      <c r="H40">
        <f>VLOOKUP(FieldTable[[#This Row],[Player]],'Odd Rankings'!A:M,13,FALSE)</f>
        <v>91.909090909090907</v>
      </c>
    </row>
    <row r="41" spans="1:8">
      <c r="A41" t="s">
        <v>119</v>
      </c>
      <c r="B41">
        <v>222</v>
      </c>
      <c r="C41" t="s">
        <v>64</v>
      </c>
      <c r="D41">
        <f t="shared" si="1"/>
        <v>18.3</v>
      </c>
      <c r="E41" t="s">
        <v>50</v>
      </c>
      <c r="F41" t="s">
        <v>49</v>
      </c>
      <c r="G41" t="s">
        <v>51</v>
      </c>
      <c r="H41">
        <f>VLOOKUP(FieldTable[[#This Row],[Player]],'Odd Rankings'!A:M,13,FALSE)</f>
        <v>92.454545454545453</v>
      </c>
    </row>
    <row r="42" spans="1:8">
      <c r="A42" t="s">
        <v>99</v>
      </c>
      <c r="B42">
        <v>52</v>
      </c>
      <c r="C42" t="s">
        <v>48</v>
      </c>
      <c r="D42">
        <f t="shared" si="1"/>
        <v>18</v>
      </c>
      <c r="E42" t="s">
        <v>50</v>
      </c>
      <c r="F42" t="s">
        <v>49</v>
      </c>
      <c r="G42" t="s">
        <v>51</v>
      </c>
      <c r="H42">
        <f>VLOOKUP(FieldTable[[#This Row],[Player]],'Odd Rankings'!A:M,13,FALSE)</f>
        <v>99.63636363636364</v>
      </c>
    </row>
    <row r="43" spans="1:8">
      <c r="A43" t="s">
        <v>83</v>
      </c>
      <c r="B43">
        <v>34</v>
      </c>
      <c r="C43" t="s">
        <v>48</v>
      </c>
      <c r="D43">
        <f t="shared" si="1"/>
        <v>17.700000000000003</v>
      </c>
      <c r="E43" t="s">
        <v>50</v>
      </c>
      <c r="F43" t="s">
        <v>49</v>
      </c>
      <c r="G43" t="s">
        <v>51</v>
      </c>
      <c r="H43">
        <f>VLOOKUP(FieldTable[[#This Row],[Player]],'Odd Rankings'!A:M,13,FALSE)</f>
        <v>109.63636363636364</v>
      </c>
    </row>
    <row r="44" spans="1:8">
      <c r="A44" t="s">
        <v>102</v>
      </c>
      <c r="B44">
        <v>57</v>
      </c>
      <c r="C44" t="s">
        <v>53</v>
      </c>
      <c r="D44">
        <f t="shared" si="1"/>
        <v>17.399999999999999</v>
      </c>
      <c r="E44" t="s">
        <v>50</v>
      </c>
      <c r="F44" t="s">
        <v>49</v>
      </c>
      <c r="G44" t="s">
        <v>51</v>
      </c>
      <c r="H44">
        <f>VLOOKUP(FieldTable[[#This Row],[Player]],'Odd Rankings'!A:M,13,FALSE)</f>
        <v>127.81818181818181</v>
      </c>
    </row>
    <row r="45" spans="1:8">
      <c r="A45" t="s">
        <v>78</v>
      </c>
      <c r="B45">
        <v>29</v>
      </c>
      <c r="C45" t="s">
        <v>48</v>
      </c>
      <c r="D45">
        <f t="shared" si="1"/>
        <v>17.100000000000001</v>
      </c>
      <c r="E45" t="s">
        <v>50</v>
      </c>
      <c r="F45" t="s">
        <v>49</v>
      </c>
      <c r="G45" t="s">
        <v>51</v>
      </c>
      <c r="H45">
        <f>VLOOKUP(FieldTable[[#This Row],[Player]],'Odd Rankings'!A:M,13,FALSE)</f>
        <v>130.09090909090909</v>
      </c>
    </row>
    <row r="46" spans="1:8">
      <c r="A46" t="s">
        <v>117</v>
      </c>
      <c r="B46">
        <v>163</v>
      </c>
      <c r="C46" t="s">
        <v>48</v>
      </c>
      <c r="D46">
        <f t="shared" si="1"/>
        <v>16.8</v>
      </c>
      <c r="E46" t="s">
        <v>50</v>
      </c>
      <c r="F46" t="s">
        <v>49</v>
      </c>
      <c r="G46" t="s">
        <v>51</v>
      </c>
      <c r="H46">
        <f>VLOOKUP(FieldTable[[#This Row],[Player]],'Odd Rankings'!A:M,13,FALSE)</f>
        <v>131.45454545454547</v>
      </c>
    </row>
    <row r="47" spans="1:8">
      <c r="A47" t="s">
        <v>66</v>
      </c>
      <c r="B47">
        <v>16</v>
      </c>
      <c r="C47" t="s">
        <v>48</v>
      </c>
      <c r="D47">
        <f t="shared" si="1"/>
        <v>16.5</v>
      </c>
      <c r="E47" t="s">
        <v>50</v>
      </c>
      <c r="F47" t="s">
        <v>49</v>
      </c>
      <c r="G47" t="s">
        <v>51</v>
      </c>
      <c r="H47">
        <f>VLOOKUP(FieldTable[[#This Row],[Player]],'Odd Rankings'!A:M,13,FALSE)</f>
        <v>131.90909090909091</v>
      </c>
    </row>
    <row r="48" spans="1:8">
      <c r="A48" t="s">
        <v>87</v>
      </c>
      <c r="B48">
        <v>38</v>
      </c>
      <c r="C48" t="s">
        <v>48</v>
      </c>
      <c r="D48">
        <f t="shared" si="1"/>
        <v>16.200000000000003</v>
      </c>
      <c r="E48" t="s">
        <v>50</v>
      </c>
      <c r="F48" t="s">
        <v>49</v>
      </c>
      <c r="G48" t="s">
        <v>51</v>
      </c>
      <c r="H48">
        <f>VLOOKUP(FieldTable[[#This Row],[Player]],'Odd Rankings'!A:M,13,FALSE)</f>
        <v>132.81818181818181</v>
      </c>
    </row>
    <row r="49" spans="1:8">
      <c r="A49" t="s">
        <v>69</v>
      </c>
      <c r="B49">
        <v>19</v>
      </c>
      <c r="C49" t="s">
        <v>53</v>
      </c>
      <c r="D49">
        <f t="shared" si="1"/>
        <v>15.9</v>
      </c>
      <c r="E49" t="s">
        <v>50</v>
      </c>
      <c r="F49" t="s">
        <v>49</v>
      </c>
      <c r="G49" t="s">
        <v>51</v>
      </c>
      <c r="H49">
        <f>VLOOKUP(FieldTable[[#This Row],[Player]],'Odd Rankings'!A:M,13,FALSE)</f>
        <v>145.54545454545453</v>
      </c>
    </row>
    <row r="50" spans="1:8">
      <c r="A50" t="s">
        <v>75</v>
      </c>
      <c r="B50">
        <v>26</v>
      </c>
      <c r="C50" t="s">
        <v>48</v>
      </c>
      <c r="D50">
        <f t="shared" si="1"/>
        <v>15.600000000000001</v>
      </c>
      <c r="E50" t="s">
        <v>50</v>
      </c>
      <c r="F50" t="s">
        <v>49</v>
      </c>
      <c r="G50" t="s">
        <v>51</v>
      </c>
      <c r="H50">
        <f>VLOOKUP(FieldTable[[#This Row],[Player]],'Odd Rankings'!A:M,13,FALSE)</f>
        <v>149.18181818181819</v>
      </c>
    </row>
    <row r="51" spans="1:8">
      <c r="A51" t="s">
        <v>97</v>
      </c>
      <c r="B51">
        <v>50</v>
      </c>
      <c r="C51" t="s">
        <v>48</v>
      </c>
      <c r="D51">
        <f t="shared" si="1"/>
        <v>15.3</v>
      </c>
      <c r="E51" t="s">
        <v>50</v>
      </c>
      <c r="F51" t="s">
        <v>49</v>
      </c>
      <c r="G51" t="s">
        <v>51</v>
      </c>
      <c r="H51">
        <f>VLOOKUP(FieldTable[[#This Row],[Player]],'Odd Rankings'!A:M,13,FALSE)</f>
        <v>155.54545454545453</v>
      </c>
    </row>
    <row r="52" spans="1:8">
      <c r="A52" t="s">
        <v>105</v>
      </c>
      <c r="B52">
        <v>62</v>
      </c>
      <c r="C52" t="s">
        <v>53</v>
      </c>
      <c r="D52">
        <f t="shared" si="1"/>
        <v>15</v>
      </c>
      <c r="E52" t="s">
        <v>50</v>
      </c>
      <c r="F52" t="s">
        <v>49</v>
      </c>
      <c r="G52" t="s">
        <v>51</v>
      </c>
      <c r="H52">
        <f>VLOOKUP(FieldTable[[#This Row],[Player]],'Odd Rankings'!A:M,13,FALSE)</f>
        <v>155.54545454545453</v>
      </c>
    </row>
    <row r="53" spans="1:8">
      <c r="A53" t="s">
        <v>199</v>
      </c>
      <c r="B53">
        <v>45</v>
      </c>
      <c r="C53" t="s">
        <v>48</v>
      </c>
      <c r="D53">
        <f t="shared" si="1"/>
        <v>14.700000000000001</v>
      </c>
      <c r="E53" t="s">
        <v>50</v>
      </c>
      <c r="F53" t="s">
        <v>49</v>
      </c>
      <c r="G53" t="s">
        <v>51</v>
      </c>
      <c r="H53">
        <f>VLOOKUP(FieldTable[[#This Row],[Player]],'Odd Rankings'!A:M,13,FALSE)</f>
        <v>156.45454545454547</v>
      </c>
    </row>
    <row r="54" spans="1:8">
      <c r="A54" t="s">
        <v>112</v>
      </c>
      <c r="B54">
        <v>78</v>
      </c>
      <c r="C54" t="s">
        <v>48</v>
      </c>
      <c r="D54">
        <f t="shared" si="1"/>
        <v>14.4</v>
      </c>
      <c r="E54" t="s">
        <v>50</v>
      </c>
      <c r="F54" t="s">
        <v>49</v>
      </c>
      <c r="G54" t="s">
        <v>51</v>
      </c>
      <c r="H54">
        <f>VLOOKUP(FieldTable[[#This Row],[Player]],'Odd Rankings'!A:M,13,FALSE)</f>
        <v>169.18181818181819</v>
      </c>
    </row>
    <row r="55" spans="1:8">
      <c r="A55" t="s">
        <v>88</v>
      </c>
      <c r="B55">
        <v>39</v>
      </c>
      <c r="C55" t="s">
        <v>53</v>
      </c>
      <c r="D55">
        <f t="shared" si="1"/>
        <v>14.100000000000001</v>
      </c>
      <c r="E55" t="s">
        <v>50</v>
      </c>
      <c r="F55" t="s">
        <v>49</v>
      </c>
      <c r="G55" t="s">
        <v>51</v>
      </c>
      <c r="H55">
        <f>VLOOKUP(FieldTable[[#This Row],[Player]],'Odd Rankings'!A:M,13,FALSE)</f>
        <v>176</v>
      </c>
    </row>
    <row r="56" spans="1:8">
      <c r="A56" t="s">
        <v>109</v>
      </c>
      <c r="B56">
        <v>70</v>
      </c>
      <c r="C56" t="s">
        <v>64</v>
      </c>
      <c r="D56">
        <f t="shared" si="1"/>
        <v>13.8</v>
      </c>
      <c r="E56" t="s">
        <v>50</v>
      </c>
      <c r="F56" t="s">
        <v>49</v>
      </c>
      <c r="G56" t="s">
        <v>51</v>
      </c>
      <c r="H56">
        <f>VLOOKUP(FieldTable[[#This Row],[Player]],'Odd Rankings'!A:M,13,FALSE)</f>
        <v>185.09090909090909</v>
      </c>
    </row>
    <row r="57" spans="1:8">
      <c r="A57" t="s">
        <v>98</v>
      </c>
      <c r="B57">
        <v>51</v>
      </c>
      <c r="C57" t="s">
        <v>64</v>
      </c>
      <c r="D57">
        <f t="shared" si="1"/>
        <v>13.5</v>
      </c>
      <c r="E57" t="s">
        <v>50</v>
      </c>
      <c r="F57" t="s">
        <v>49</v>
      </c>
      <c r="G57" t="s">
        <v>51</v>
      </c>
      <c r="H57">
        <f>VLOOKUP(FieldTable[[#This Row],[Player]],'Odd Rankings'!A:M,13,FALSE)</f>
        <v>187.36363636363637</v>
      </c>
    </row>
    <row r="58" spans="1:8">
      <c r="A58" t="s">
        <v>107</v>
      </c>
      <c r="B58">
        <v>67</v>
      </c>
      <c r="C58" t="s">
        <v>64</v>
      </c>
      <c r="D58">
        <f t="shared" si="1"/>
        <v>13.2</v>
      </c>
      <c r="E58" t="s">
        <v>50</v>
      </c>
      <c r="F58" t="s">
        <v>49</v>
      </c>
      <c r="G58" t="s">
        <v>51</v>
      </c>
      <c r="H58">
        <f>VLOOKUP(FieldTable[[#This Row],[Player]],'Odd Rankings'!A:M,13,FALSE)</f>
        <v>189.63636363636363</v>
      </c>
    </row>
    <row r="59" spans="1:8">
      <c r="A59" t="s">
        <v>125</v>
      </c>
      <c r="B59">
        <v>593</v>
      </c>
      <c r="C59" t="s">
        <v>48</v>
      </c>
      <c r="D59">
        <f t="shared" si="1"/>
        <v>12.900000000000002</v>
      </c>
      <c r="E59" t="s">
        <v>50</v>
      </c>
      <c r="F59" t="s">
        <v>49</v>
      </c>
      <c r="G59" t="s">
        <v>51</v>
      </c>
      <c r="H59">
        <f>VLOOKUP(FieldTable[[#This Row],[Player]],'Odd Rankings'!A:M,13,FALSE)</f>
        <v>197.36363636363637</v>
      </c>
    </row>
    <row r="60" spans="1:8">
      <c r="A60" t="s">
        <v>91</v>
      </c>
      <c r="B60">
        <v>43</v>
      </c>
      <c r="C60" t="s">
        <v>48</v>
      </c>
      <c r="D60">
        <f t="shared" si="1"/>
        <v>12.600000000000001</v>
      </c>
      <c r="E60" t="s">
        <v>50</v>
      </c>
      <c r="F60" t="s">
        <v>49</v>
      </c>
      <c r="G60" t="s">
        <v>51</v>
      </c>
      <c r="H60">
        <f>VLOOKUP(FieldTable[[#This Row],[Player]],'Odd Rankings'!A:M,13,FALSE)</f>
        <v>205.54545454545453</v>
      </c>
    </row>
    <row r="61" spans="1:8">
      <c r="A61" t="s">
        <v>93</v>
      </c>
      <c r="B61">
        <v>46</v>
      </c>
      <c r="C61" t="s">
        <v>53</v>
      </c>
      <c r="D61">
        <f t="shared" si="1"/>
        <v>12.3</v>
      </c>
      <c r="E61" t="s">
        <v>50</v>
      </c>
      <c r="F61" t="s">
        <v>49</v>
      </c>
      <c r="G61" t="s">
        <v>51</v>
      </c>
      <c r="H61">
        <f>VLOOKUP(FieldTable[[#This Row],[Player]],'Odd Rankings'!A:M,13,FALSE)</f>
        <v>207.81818181818181</v>
      </c>
    </row>
    <row r="62" spans="1:8">
      <c r="A62" t="s">
        <v>111</v>
      </c>
      <c r="B62">
        <v>77</v>
      </c>
      <c r="C62" t="s">
        <v>64</v>
      </c>
      <c r="D62">
        <f t="shared" si="1"/>
        <v>12</v>
      </c>
      <c r="E62" t="s">
        <v>50</v>
      </c>
      <c r="F62" t="s">
        <v>49</v>
      </c>
      <c r="G62" t="s">
        <v>51</v>
      </c>
      <c r="H62">
        <f>VLOOKUP(FieldTable[[#This Row],[Player]],'Odd Rankings'!A:M,13,FALSE)</f>
        <v>212.36363636363637</v>
      </c>
    </row>
    <row r="63" spans="1:8">
      <c r="A63" t="s">
        <v>96</v>
      </c>
      <c r="B63">
        <v>49</v>
      </c>
      <c r="C63" t="s">
        <v>48</v>
      </c>
      <c r="D63">
        <f t="shared" si="1"/>
        <v>11.7</v>
      </c>
      <c r="E63" t="s">
        <v>50</v>
      </c>
      <c r="F63" t="s">
        <v>49</v>
      </c>
      <c r="G63" t="s">
        <v>51</v>
      </c>
      <c r="H63">
        <f>VLOOKUP(FieldTable[[#This Row],[Player]],'Odd Rankings'!A:M,13,FALSE)</f>
        <v>216.90909090909091</v>
      </c>
    </row>
    <row r="64" spans="1:8">
      <c r="A64" t="s">
        <v>121</v>
      </c>
      <c r="B64">
        <v>345</v>
      </c>
      <c r="C64" t="s">
        <v>53</v>
      </c>
      <c r="D64">
        <f t="shared" si="1"/>
        <v>11.400000000000002</v>
      </c>
      <c r="E64" t="s">
        <v>50</v>
      </c>
      <c r="F64" t="s">
        <v>49</v>
      </c>
      <c r="G64" t="s">
        <v>51</v>
      </c>
      <c r="H64">
        <f>VLOOKUP(FieldTable[[#This Row],[Player]],'Odd Rankings'!A:M,13,FALSE)</f>
        <v>221.45454545454547</v>
      </c>
    </row>
    <row r="65" spans="1:8">
      <c r="A65" t="s">
        <v>103</v>
      </c>
      <c r="B65">
        <v>59</v>
      </c>
      <c r="C65" t="s">
        <v>48</v>
      </c>
      <c r="D65">
        <f t="shared" si="1"/>
        <v>11.100000000000001</v>
      </c>
      <c r="E65" t="s">
        <v>50</v>
      </c>
      <c r="F65" t="s">
        <v>49</v>
      </c>
      <c r="G65" t="s">
        <v>51</v>
      </c>
      <c r="H65">
        <f>VLOOKUP(FieldTable[[#This Row],[Player]],'Odd Rankings'!A:M,13,FALSE)</f>
        <v>228.27272727272728</v>
      </c>
    </row>
    <row r="66" spans="1:8">
      <c r="A66" t="s">
        <v>116</v>
      </c>
      <c r="B66">
        <v>161</v>
      </c>
      <c r="C66" t="s">
        <v>64</v>
      </c>
      <c r="D66">
        <f t="shared" ref="D66:D92" si="2">30 - ((ROW(A65) - ROW($A$1)) * 0.3)</f>
        <v>10.8</v>
      </c>
      <c r="E66" t="s">
        <v>50</v>
      </c>
      <c r="F66" t="s">
        <v>49</v>
      </c>
      <c r="G66" t="s">
        <v>51</v>
      </c>
      <c r="H66">
        <f>VLOOKUP(FieldTable[[#This Row],[Player]],'Odd Rankings'!A:M,13,FALSE)</f>
        <v>228.27272727272728</v>
      </c>
    </row>
    <row r="67" spans="1:8">
      <c r="A67" t="s">
        <v>200</v>
      </c>
      <c r="B67">
        <v>40</v>
      </c>
      <c r="C67" t="s">
        <v>64</v>
      </c>
      <c r="D67">
        <f t="shared" si="2"/>
        <v>10.5</v>
      </c>
      <c r="E67" t="s">
        <v>50</v>
      </c>
      <c r="F67" t="s">
        <v>49</v>
      </c>
      <c r="G67" t="s">
        <v>51</v>
      </c>
      <c r="H67">
        <f>VLOOKUP(FieldTable[[#This Row],[Player]],'Odd Rankings'!A:M,13,FALSE)</f>
        <v>232.81818181818181</v>
      </c>
    </row>
    <row r="68" spans="1:8">
      <c r="A68" t="s">
        <v>113</v>
      </c>
      <c r="B68">
        <v>105</v>
      </c>
      <c r="C68" t="s">
        <v>53</v>
      </c>
      <c r="D68">
        <f t="shared" si="2"/>
        <v>10.199999999999999</v>
      </c>
      <c r="E68" t="s">
        <v>50</v>
      </c>
      <c r="F68" t="s">
        <v>49</v>
      </c>
      <c r="G68" t="s">
        <v>51</v>
      </c>
      <c r="H68">
        <f>VLOOKUP(FieldTable[[#This Row],[Player]],'Odd Rankings'!A:M,13,FALSE)</f>
        <v>241.90909090909091</v>
      </c>
    </row>
    <row r="69" spans="1:8">
      <c r="A69" t="s">
        <v>202</v>
      </c>
      <c r="B69">
        <v>84</v>
      </c>
      <c r="C69" t="s">
        <v>64</v>
      </c>
      <c r="D69">
        <f t="shared" si="2"/>
        <v>9.9000000000000021</v>
      </c>
      <c r="E69" t="s">
        <v>50</v>
      </c>
      <c r="F69" t="s">
        <v>49</v>
      </c>
      <c r="G69" t="s">
        <v>51</v>
      </c>
      <c r="H69">
        <f>VLOOKUP(FieldTable[[#This Row],[Player]],'Odd Rankings'!A:M,13,FALSE)</f>
        <v>244.18181818181819</v>
      </c>
    </row>
    <row r="70" spans="1:8">
      <c r="A70" t="s">
        <v>95</v>
      </c>
      <c r="B70">
        <v>48</v>
      </c>
      <c r="C70" t="s">
        <v>48</v>
      </c>
      <c r="D70">
        <f t="shared" si="2"/>
        <v>9.6000000000000014</v>
      </c>
      <c r="E70" t="s">
        <v>50</v>
      </c>
      <c r="F70" t="s">
        <v>49</v>
      </c>
      <c r="G70" t="s">
        <v>51</v>
      </c>
      <c r="H70">
        <f>VLOOKUP(FieldTable[[#This Row],[Player]],'Odd Rankings'!A:M,13,FALSE)</f>
        <v>248.72727272727272</v>
      </c>
    </row>
    <row r="71" spans="1:8">
      <c r="A71" t="s">
        <v>106</v>
      </c>
      <c r="B71">
        <v>64</v>
      </c>
      <c r="C71" t="s">
        <v>48</v>
      </c>
      <c r="D71">
        <f t="shared" si="2"/>
        <v>9.3000000000000007</v>
      </c>
      <c r="E71" t="s">
        <v>50</v>
      </c>
      <c r="F71" t="s">
        <v>49</v>
      </c>
      <c r="G71" t="s">
        <v>51</v>
      </c>
      <c r="H71">
        <f>VLOOKUP(FieldTable[[#This Row],[Player]],'Odd Rankings'!A:M,13,FALSE)</f>
        <v>269.18181818181819</v>
      </c>
    </row>
    <row r="72" spans="1:8">
      <c r="A72" t="s">
        <v>108</v>
      </c>
      <c r="B72">
        <v>69</v>
      </c>
      <c r="C72" t="s">
        <v>53</v>
      </c>
      <c r="D72">
        <f t="shared" si="2"/>
        <v>9</v>
      </c>
      <c r="E72" t="s">
        <v>50</v>
      </c>
      <c r="F72" t="s">
        <v>49</v>
      </c>
      <c r="G72" t="s">
        <v>51</v>
      </c>
      <c r="H72">
        <f>VLOOKUP(FieldTable[[#This Row],[Player]],'Odd Rankings'!A:M,13,FALSE)</f>
        <v>271.45454545454544</v>
      </c>
    </row>
    <row r="73" spans="1:8">
      <c r="A73" t="s">
        <v>101</v>
      </c>
      <c r="B73">
        <v>56</v>
      </c>
      <c r="C73" t="s">
        <v>53</v>
      </c>
      <c r="D73">
        <f t="shared" si="2"/>
        <v>8.6999999999999993</v>
      </c>
      <c r="E73" t="s">
        <v>50</v>
      </c>
      <c r="F73" t="s">
        <v>49</v>
      </c>
      <c r="G73" t="s">
        <v>51</v>
      </c>
      <c r="H73">
        <f>VLOOKUP(FieldTable[[#This Row],[Player]],'Odd Rankings'!A:M,13,FALSE)</f>
        <v>276</v>
      </c>
    </row>
    <row r="74" spans="1:8">
      <c r="A74" t="s">
        <v>94</v>
      </c>
      <c r="B74">
        <v>47</v>
      </c>
      <c r="C74" t="s">
        <v>48</v>
      </c>
      <c r="D74">
        <f t="shared" si="2"/>
        <v>8.4000000000000021</v>
      </c>
      <c r="E74" t="s">
        <v>50</v>
      </c>
      <c r="F74" t="s">
        <v>49</v>
      </c>
      <c r="G74" t="s">
        <v>51</v>
      </c>
      <c r="H74">
        <f>VLOOKUP(FieldTable[[#This Row],[Player]],'Odd Rankings'!A:M,13,FALSE)</f>
        <v>296.45454545454544</v>
      </c>
    </row>
    <row r="75" spans="1:8">
      <c r="A75" t="s">
        <v>126</v>
      </c>
      <c r="B75">
        <v>702</v>
      </c>
      <c r="C75" t="s">
        <v>48</v>
      </c>
      <c r="D75">
        <f t="shared" si="2"/>
        <v>8.1000000000000014</v>
      </c>
      <c r="E75" t="s">
        <v>50</v>
      </c>
      <c r="F75" t="s">
        <v>49</v>
      </c>
      <c r="G75" t="s">
        <v>51</v>
      </c>
      <c r="H75">
        <f>VLOOKUP(FieldTable[[#This Row],[Player]],'Odd Rankings'!A:M,13,FALSE)</f>
        <v>337.36363636363637</v>
      </c>
    </row>
    <row r="76" spans="1:8">
      <c r="A76" t="s">
        <v>124</v>
      </c>
      <c r="B76">
        <v>566</v>
      </c>
      <c r="C76" t="s">
        <v>64</v>
      </c>
      <c r="D76">
        <f t="shared" si="2"/>
        <v>7.8000000000000007</v>
      </c>
      <c r="E76" t="s">
        <v>50</v>
      </c>
      <c r="F76" t="s">
        <v>49</v>
      </c>
      <c r="G76" t="s">
        <v>51</v>
      </c>
      <c r="H76">
        <f>VLOOKUP(FieldTable[[#This Row],[Player]],'Odd Rankings'!A:M,13,FALSE)</f>
        <v>428.27272727272725</v>
      </c>
    </row>
    <row r="77" spans="1:8">
      <c r="A77" t="s">
        <v>120</v>
      </c>
      <c r="B77">
        <v>321</v>
      </c>
      <c r="C77" t="s">
        <v>48</v>
      </c>
      <c r="D77">
        <f t="shared" si="2"/>
        <v>7.5</v>
      </c>
      <c r="E77" t="s">
        <v>50</v>
      </c>
      <c r="F77" t="s">
        <v>49</v>
      </c>
      <c r="G77" t="s">
        <v>51</v>
      </c>
      <c r="H77">
        <f>VLOOKUP(FieldTable[[#This Row],[Player]],'Odd Rankings'!A:M,13,FALSE)</f>
        <v>432.81818181818181</v>
      </c>
    </row>
    <row r="78" spans="1:8">
      <c r="A78" t="s">
        <v>115</v>
      </c>
      <c r="B78">
        <v>120</v>
      </c>
      <c r="C78" t="s">
        <v>48</v>
      </c>
      <c r="D78">
        <f t="shared" si="2"/>
        <v>7.1999999999999993</v>
      </c>
      <c r="E78" t="s">
        <v>50</v>
      </c>
      <c r="F78" t="s">
        <v>49</v>
      </c>
      <c r="G78" t="s">
        <v>51</v>
      </c>
      <c r="H78">
        <f>VLOOKUP(FieldTable[[#This Row],[Player]],'Odd Rankings'!A:M,13,FALSE)</f>
        <v>441.90909090909093</v>
      </c>
    </row>
    <row r="79" spans="1:8">
      <c r="A79" t="s">
        <v>123</v>
      </c>
      <c r="B79">
        <v>400</v>
      </c>
      <c r="C79" t="s">
        <v>53</v>
      </c>
      <c r="D79">
        <f t="shared" si="2"/>
        <v>6.9000000000000021</v>
      </c>
      <c r="E79" t="s">
        <v>50</v>
      </c>
      <c r="F79" t="s">
        <v>49</v>
      </c>
      <c r="G79" t="s">
        <v>51</v>
      </c>
      <c r="H79">
        <f>VLOOKUP(FieldTable[[#This Row],[Player]],'Odd Rankings'!A:M,13,FALSE)</f>
        <v>528.27272727272725</v>
      </c>
    </row>
    <row r="80" spans="1:8">
      <c r="A80" t="s">
        <v>114</v>
      </c>
      <c r="B80">
        <v>112</v>
      </c>
      <c r="C80" t="s">
        <v>48</v>
      </c>
      <c r="D80">
        <f t="shared" si="2"/>
        <v>6.6000000000000014</v>
      </c>
      <c r="E80" t="s">
        <v>50</v>
      </c>
      <c r="F80" t="s">
        <v>49</v>
      </c>
      <c r="G80" t="s">
        <v>51</v>
      </c>
      <c r="H80">
        <f>VLOOKUP(FieldTable[[#This Row],[Player]],'Odd Rankings'!A:M,13,FALSE)</f>
        <v>641.90909090909088</v>
      </c>
    </row>
    <row r="81" spans="1:8">
      <c r="A81" t="s">
        <v>122</v>
      </c>
      <c r="B81">
        <v>372</v>
      </c>
      <c r="C81" t="s">
        <v>64</v>
      </c>
      <c r="D81">
        <f t="shared" si="2"/>
        <v>6.3000000000000007</v>
      </c>
      <c r="E81" t="s">
        <v>50</v>
      </c>
      <c r="F81" t="s">
        <v>49</v>
      </c>
      <c r="G81" t="s">
        <v>51</v>
      </c>
      <c r="H81">
        <f>VLOOKUP(FieldTable[[#This Row],[Player]],'Odd Rankings'!A:M,13,FALSE)</f>
        <v>869.18181818181813</v>
      </c>
    </row>
    <row r="82" spans="1:8">
      <c r="A82" t="s">
        <v>203</v>
      </c>
      <c r="B82" t="s">
        <v>131</v>
      </c>
      <c r="C82" t="s">
        <v>48</v>
      </c>
      <c r="D82">
        <f t="shared" si="2"/>
        <v>6</v>
      </c>
      <c r="E82" t="s">
        <v>50</v>
      </c>
      <c r="F82" t="s">
        <v>49</v>
      </c>
      <c r="G82" t="s">
        <v>51</v>
      </c>
      <c r="H82">
        <f>VLOOKUP(FieldTable[[#This Row],[Player]],'Odd Rankings'!A:M,13,FALSE)</f>
        <v>978.27272727272725</v>
      </c>
    </row>
    <row r="83" spans="1:8">
      <c r="A83" t="s">
        <v>204</v>
      </c>
      <c r="B83">
        <v>4935</v>
      </c>
      <c r="C83" t="s">
        <v>48</v>
      </c>
      <c r="D83">
        <f t="shared" si="2"/>
        <v>5.6999999999999993</v>
      </c>
      <c r="E83" t="s">
        <v>50</v>
      </c>
      <c r="F83" t="s">
        <v>49</v>
      </c>
      <c r="G83" t="s">
        <v>51</v>
      </c>
      <c r="H83">
        <f>VLOOKUP(FieldTable[[#This Row],[Player]],'Odd Rankings'!A:M,13,FALSE)</f>
        <v>1001</v>
      </c>
    </row>
    <row r="84" spans="1:8">
      <c r="A84" t="s">
        <v>128</v>
      </c>
      <c r="B84">
        <v>3092</v>
      </c>
      <c r="C84" t="s">
        <v>64</v>
      </c>
      <c r="D84">
        <f t="shared" si="2"/>
        <v>5.4000000000000021</v>
      </c>
      <c r="E84" t="s">
        <v>50</v>
      </c>
      <c r="F84" t="s">
        <v>49</v>
      </c>
      <c r="G84" t="s">
        <v>51</v>
      </c>
      <c r="H84">
        <f>VLOOKUP(FieldTable[[#This Row],[Player]],'Odd Rankings'!A:M,13,FALSE)</f>
        <v>1023.7272727272727</v>
      </c>
    </row>
    <row r="85" spans="1:8">
      <c r="A85" t="s">
        <v>205</v>
      </c>
      <c r="B85">
        <v>4935</v>
      </c>
      <c r="C85" t="s">
        <v>64</v>
      </c>
      <c r="D85">
        <f t="shared" si="2"/>
        <v>5.1000000000000014</v>
      </c>
      <c r="E85" t="s">
        <v>50</v>
      </c>
      <c r="F85" t="s">
        <v>49</v>
      </c>
      <c r="G85" t="s">
        <v>51</v>
      </c>
      <c r="H85">
        <f>VLOOKUP(FieldTable[[#This Row],[Player]],'Odd Rankings'!A:M,13,FALSE)</f>
        <v>1051</v>
      </c>
    </row>
    <row r="86" spans="1:8">
      <c r="A86" t="s">
        <v>127</v>
      </c>
      <c r="B86">
        <v>1418</v>
      </c>
      <c r="C86" t="s">
        <v>64</v>
      </c>
      <c r="D86">
        <f t="shared" si="2"/>
        <v>4.8000000000000007</v>
      </c>
      <c r="E86" t="s">
        <v>50</v>
      </c>
      <c r="F86" t="s">
        <v>49</v>
      </c>
      <c r="G86" t="s">
        <v>51</v>
      </c>
      <c r="H86">
        <f>VLOOKUP(FieldTable[[#This Row],[Player]],'Odd Rankings'!A:M,13,FALSE)</f>
        <v>1251</v>
      </c>
    </row>
    <row r="87" spans="1:8">
      <c r="A87" t="s">
        <v>206</v>
      </c>
      <c r="B87" t="s">
        <v>131</v>
      </c>
      <c r="C87" t="s">
        <v>48</v>
      </c>
      <c r="D87">
        <f t="shared" si="2"/>
        <v>4.5</v>
      </c>
      <c r="E87" t="s">
        <v>50</v>
      </c>
      <c r="F87" t="s">
        <v>49</v>
      </c>
      <c r="G87" t="s">
        <v>51</v>
      </c>
      <c r="H87">
        <f>VLOOKUP(FieldTable[[#This Row],[Player]],'Odd Rankings'!A:M,13,FALSE)</f>
        <v>1251</v>
      </c>
    </row>
    <row r="88" spans="1:8">
      <c r="A88" t="s">
        <v>207</v>
      </c>
      <c r="B88" t="s">
        <v>131</v>
      </c>
      <c r="C88" t="s">
        <v>48</v>
      </c>
      <c r="D88">
        <f t="shared" si="2"/>
        <v>4.1999999999999993</v>
      </c>
      <c r="E88" t="s">
        <v>50</v>
      </c>
      <c r="F88" t="s">
        <v>49</v>
      </c>
      <c r="G88" t="s">
        <v>51</v>
      </c>
      <c r="H88">
        <f>VLOOKUP(FieldTable[[#This Row],[Player]],'Odd Rankings'!A:M,13,FALSE)</f>
        <v>1251</v>
      </c>
    </row>
    <row r="89" spans="1:8">
      <c r="A89" t="s">
        <v>130</v>
      </c>
      <c r="B89">
        <v>4935</v>
      </c>
      <c r="C89" t="s">
        <v>48</v>
      </c>
      <c r="D89">
        <f t="shared" si="2"/>
        <v>3.9000000000000021</v>
      </c>
      <c r="E89" t="s">
        <v>50</v>
      </c>
      <c r="F89" t="s">
        <v>49</v>
      </c>
      <c r="G89" t="s">
        <v>51</v>
      </c>
      <c r="H89">
        <f>VLOOKUP(FieldTable[[#This Row],[Player]],'Odd Rankings'!A:M,13,FALSE)</f>
        <v>1296.4545454545455</v>
      </c>
    </row>
    <row r="90" spans="1:8">
      <c r="A90" t="s">
        <v>208</v>
      </c>
      <c r="B90" t="s">
        <v>131</v>
      </c>
      <c r="C90" t="s">
        <v>53</v>
      </c>
      <c r="D90">
        <f t="shared" si="2"/>
        <v>3.6000000000000014</v>
      </c>
      <c r="E90" t="s">
        <v>50</v>
      </c>
      <c r="F90" t="s">
        <v>49</v>
      </c>
      <c r="G90" t="s">
        <v>51</v>
      </c>
      <c r="H90">
        <f>VLOOKUP(FieldTable[[#This Row],[Player]],'Odd Rankings'!A:M,13,FALSE)</f>
        <v>1296.4545454545455</v>
      </c>
    </row>
    <row r="91" spans="1:8">
      <c r="A91" t="s">
        <v>129</v>
      </c>
      <c r="B91">
        <v>4935</v>
      </c>
      <c r="C91" t="s">
        <v>64</v>
      </c>
      <c r="D91">
        <f t="shared" si="2"/>
        <v>3.3000000000000007</v>
      </c>
      <c r="E91" t="s">
        <v>50</v>
      </c>
      <c r="F91" t="s">
        <v>49</v>
      </c>
      <c r="G91" t="s">
        <v>51</v>
      </c>
      <c r="H91">
        <f>VLOOKUP(FieldTable[[#This Row],[Player]],'Odd Rankings'!A:M,13,FALSE)</f>
        <v>1341.909090909091</v>
      </c>
    </row>
    <row r="92" spans="1:8">
      <c r="A92" t="s">
        <v>209</v>
      </c>
      <c r="B92">
        <v>3804</v>
      </c>
      <c r="C92" t="s">
        <v>53</v>
      </c>
      <c r="D92">
        <f t="shared" si="2"/>
        <v>3</v>
      </c>
      <c r="E92" t="s">
        <v>50</v>
      </c>
      <c r="F92" t="s">
        <v>49</v>
      </c>
      <c r="G92" t="s">
        <v>51</v>
      </c>
      <c r="H92">
        <f>VLOOKUP(FieldTable[[#This Row],[Player]],'Odd Rankings'!A:M,13,FALSE)</f>
        <v>1569.1818181818182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1822-4615-4B8A-AF7A-50C38DA27CF4}">
  <dimension ref="A1:M92"/>
  <sheetViews>
    <sheetView workbookViewId="0">
      <selection activeCell="A83" sqref="A83"/>
    </sheetView>
  </sheetViews>
  <sheetFormatPr defaultRowHeight="14"/>
  <cols>
    <col min="1" max="1" width="25.33203125" bestFit="1" customWidth="1"/>
  </cols>
  <sheetData>
    <row r="1" spans="1:13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</row>
    <row r="2" spans="1:13">
      <c r="A2" t="s">
        <v>47</v>
      </c>
      <c r="B2">
        <v>6.5</v>
      </c>
      <c r="C2">
        <v>6.5</v>
      </c>
      <c r="D2">
        <v>6.5</v>
      </c>
      <c r="E2">
        <v>6.5</v>
      </c>
      <c r="F2">
        <v>7</v>
      </c>
      <c r="G2">
        <v>7</v>
      </c>
      <c r="H2">
        <v>6.5</v>
      </c>
      <c r="I2">
        <v>6.5</v>
      </c>
      <c r="J2">
        <v>6</v>
      </c>
      <c r="K2">
        <v>7</v>
      </c>
      <c r="L2">
        <v>6.5</v>
      </c>
      <c r="M2">
        <v>6.5909090909090908</v>
      </c>
    </row>
    <row r="3" spans="1:13">
      <c r="A3" t="s">
        <v>79</v>
      </c>
      <c r="B3">
        <v>11</v>
      </c>
      <c r="C3">
        <v>11</v>
      </c>
      <c r="D3">
        <v>12</v>
      </c>
      <c r="E3">
        <v>11</v>
      </c>
      <c r="F3">
        <v>11</v>
      </c>
      <c r="G3">
        <v>12</v>
      </c>
      <c r="H3">
        <v>12</v>
      </c>
      <c r="I3">
        <v>11</v>
      </c>
      <c r="J3">
        <v>9</v>
      </c>
      <c r="K3">
        <v>12</v>
      </c>
      <c r="L3">
        <v>11</v>
      </c>
      <c r="M3">
        <v>11.181818181818182</v>
      </c>
    </row>
    <row r="4" spans="1:13">
      <c r="A4" t="s">
        <v>73</v>
      </c>
      <c r="B4">
        <v>13</v>
      </c>
      <c r="C4">
        <v>11</v>
      </c>
      <c r="D4">
        <v>13</v>
      </c>
      <c r="E4">
        <v>12</v>
      </c>
      <c r="F4">
        <v>12</v>
      </c>
      <c r="G4">
        <v>13</v>
      </c>
      <c r="H4">
        <v>13</v>
      </c>
      <c r="I4">
        <v>13</v>
      </c>
      <c r="J4">
        <v>11</v>
      </c>
      <c r="K4">
        <v>13</v>
      </c>
      <c r="L4">
        <v>11</v>
      </c>
      <c r="M4">
        <v>12.272727272727273</v>
      </c>
    </row>
    <row r="5" spans="1:13">
      <c r="A5" t="s">
        <v>52</v>
      </c>
      <c r="B5">
        <v>13</v>
      </c>
      <c r="C5">
        <v>12</v>
      </c>
      <c r="D5">
        <v>15</v>
      </c>
      <c r="E5">
        <v>14</v>
      </c>
      <c r="F5">
        <v>14</v>
      </c>
      <c r="G5">
        <v>13</v>
      </c>
      <c r="H5">
        <v>15</v>
      </c>
      <c r="I5">
        <v>13</v>
      </c>
      <c r="J5">
        <v>11</v>
      </c>
      <c r="K5">
        <v>15</v>
      </c>
      <c r="L5">
        <v>13</v>
      </c>
      <c r="M5">
        <v>13.454545454545455</v>
      </c>
    </row>
    <row r="6" spans="1:13">
      <c r="A6" t="s">
        <v>60</v>
      </c>
      <c r="B6">
        <v>15</v>
      </c>
      <c r="C6">
        <v>13</v>
      </c>
      <c r="D6">
        <v>13</v>
      </c>
      <c r="E6">
        <v>13</v>
      </c>
      <c r="F6">
        <v>16</v>
      </c>
      <c r="G6">
        <v>15</v>
      </c>
      <c r="H6">
        <v>13</v>
      </c>
      <c r="I6">
        <v>13</v>
      </c>
      <c r="J6">
        <v>12</v>
      </c>
      <c r="K6">
        <v>17</v>
      </c>
      <c r="L6">
        <v>15</v>
      </c>
      <c r="M6">
        <v>14.090909090909092</v>
      </c>
    </row>
    <row r="7" spans="1:13">
      <c r="A7" t="s">
        <v>67</v>
      </c>
      <c r="B7">
        <v>17</v>
      </c>
      <c r="C7">
        <v>15</v>
      </c>
      <c r="D7">
        <v>17</v>
      </c>
      <c r="E7">
        <v>15</v>
      </c>
      <c r="F7">
        <v>19</v>
      </c>
      <c r="G7">
        <v>17</v>
      </c>
      <c r="H7">
        <v>17</v>
      </c>
      <c r="I7">
        <v>15</v>
      </c>
      <c r="J7">
        <v>13</v>
      </c>
      <c r="K7">
        <v>19</v>
      </c>
      <c r="L7">
        <v>15</v>
      </c>
      <c r="M7">
        <v>16.272727272727273</v>
      </c>
    </row>
    <row r="8" spans="1:13">
      <c r="A8" t="s">
        <v>56</v>
      </c>
      <c r="B8">
        <v>19</v>
      </c>
      <c r="C8">
        <v>19</v>
      </c>
      <c r="D8">
        <v>19</v>
      </c>
      <c r="E8">
        <v>19</v>
      </c>
      <c r="F8">
        <v>19</v>
      </c>
      <c r="G8">
        <v>19</v>
      </c>
      <c r="H8">
        <v>19</v>
      </c>
      <c r="I8">
        <v>17</v>
      </c>
      <c r="J8">
        <v>17</v>
      </c>
      <c r="K8">
        <v>23</v>
      </c>
      <c r="L8">
        <v>21</v>
      </c>
      <c r="M8">
        <v>19.181818181818183</v>
      </c>
    </row>
    <row r="9" spans="1:13">
      <c r="A9" t="s">
        <v>54</v>
      </c>
      <c r="B9">
        <v>19</v>
      </c>
      <c r="C9">
        <v>19</v>
      </c>
      <c r="D9">
        <v>19</v>
      </c>
      <c r="E9">
        <v>19</v>
      </c>
      <c r="F9">
        <v>23</v>
      </c>
      <c r="G9">
        <v>19</v>
      </c>
      <c r="H9">
        <v>19</v>
      </c>
      <c r="I9">
        <v>17</v>
      </c>
      <c r="J9">
        <v>17</v>
      </c>
      <c r="K9">
        <v>23</v>
      </c>
      <c r="L9">
        <v>19</v>
      </c>
      <c r="M9">
        <v>19.363636363636363</v>
      </c>
    </row>
    <row r="10" spans="1:13">
      <c r="A10" t="s">
        <v>55</v>
      </c>
      <c r="B10">
        <v>21</v>
      </c>
      <c r="C10">
        <v>19</v>
      </c>
      <c r="D10">
        <v>19</v>
      </c>
      <c r="E10">
        <v>19</v>
      </c>
      <c r="F10">
        <v>23</v>
      </c>
      <c r="G10">
        <v>21</v>
      </c>
      <c r="H10">
        <v>19</v>
      </c>
      <c r="I10">
        <v>17</v>
      </c>
      <c r="J10">
        <v>17</v>
      </c>
      <c r="K10">
        <v>23</v>
      </c>
      <c r="L10">
        <v>21</v>
      </c>
      <c r="M10">
        <v>19.90909090909091</v>
      </c>
    </row>
    <row r="11" spans="1:13">
      <c r="A11" t="s">
        <v>63</v>
      </c>
      <c r="B11">
        <v>26</v>
      </c>
      <c r="C11">
        <v>26</v>
      </c>
      <c r="D11">
        <v>26</v>
      </c>
      <c r="E11">
        <v>26</v>
      </c>
      <c r="F11">
        <v>26</v>
      </c>
      <c r="G11">
        <v>26</v>
      </c>
      <c r="H11">
        <v>26</v>
      </c>
      <c r="I11">
        <v>26</v>
      </c>
      <c r="J11">
        <v>21</v>
      </c>
      <c r="K11">
        <v>31</v>
      </c>
      <c r="L11">
        <v>26</v>
      </c>
      <c r="M11">
        <v>26</v>
      </c>
    </row>
    <row r="12" spans="1:13">
      <c r="A12" t="s">
        <v>58</v>
      </c>
      <c r="B12">
        <v>26</v>
      </c>
      <c r="C12">
        <v>26</v>
      </c>
      <c r="D12">
        <v>23</v>
      </c>
      <c r="E12">
        <v>29</v>
      </c>
      <c r="F12">
        <v>29</v>
      </c>
      <c r="G12">
        <v>29</v>
      </c>
      <c r="H12">
        <v>23</v>
      </c>
      <c r="I12">
        <v>26</v>
      </c>
      <c r="J12">
        <v>21</v>
      </c>
      <c r="K12">
        <v>36</v>
      </c>
      <c r="L12">
        <v>29</v>
      </c>
      <c r="M12">
        <v>27</v>
      </c>
    </row>
    <row r="13" spans="1:13">
      <c r="A13" t="s">
        <v>59</v>
      </c>
      <c r="B13">
        <v>26</v>
      </c>
      <c r="C13">
        <v>26</v>
      </c>
      <c r="D13">
        <v>23</v>
      </c>
      <c r="E13">
        <v>29</v>
      </c>
      <c r="F13">
        <v>31</v>
      </c>
      <c r="G13">
        <v>29</v>
      </c>
      <c r="H13">
        <v>23</v>
      </c>
      <c r="I13">
        <v>26</v>
      </c>
      <c r="J13">
        <v>23</v>
      </c>
      <c r="K13">
        <v>36</v>
      </c>
      <c r="L13">
        <v>29</v>
      </c>
      <c r="M13">
        <v>27.363636363636363</v>
      </c>
    </row>
    <row r="14" spans="1:13">
      <c r="A14" t="s">
        <v>74</v>
      </c>
      <c r="B14">
        <v>34</v>
      </c>
      <c r="C14">
        <v>34</v>
      </c>
      <c r="D14">
        <v>34</v>
      </c>
      <c r="E14">
        <v>31</v>
      </c>
      <c r="F14">
        <v>31</v>
      </c>
      <c r="G14">
        <v>34</v>
      </c>
      <c r="H14">
        <v>34</v>
      </c>
      <c r="I14">
        <v>26</v>
      </c>
      <c r="J14">
        <v>26</v>
      </c>
      <c r="K14">
        <v>36</v>
      </c>
      <c r="L14">
        <v>31</v>
      </c>
      <c r="M14">
        <v>31.90909090909091</v>
      </c>
    </row>
    <row r="15" spans="1:13">
      <c r="A15" t="s">
        <v>57</v>
      </c>
      <c r="B15">
        <v>36</v>
      </c>
      <c r="C15">
        <v>34</v>
      </c>
      <c r="D15">
        <v>36</v>
      </c>
      <c r="E15">
        <v>34</v>
      </c>
      <c r="F15">
        <v>41</v>
      </c>
      <c r="G15">
        <v>36</v>
      </c>
      <c r="H15">
        <v>36</v>
      </c>
      <c r="I15">
        <v>29</v>
      </c>
      <c r="J15">
        <v>26</v>
      </c>
      <c r="K15">
        <v>41</v>
      </c>
      <c r="L15">
        <v>34</v>
      </c>
      <c r="M15">
        <v>34.81818181818182</v>
      </c>
    </row>
    <row r="16" spans="1:13">
      <c r="A16" t="s">
        <v>72</v>
      </c>
      <c r="B16">
        <v>36</v>
      </c>
      <c r="C16">
        <v>34</v>
      </c>
      <c r="D16">
        <v>36</v>
      </c>
      <c r="E16">
        <v>34</v>
      </c>
      <c r="F16">
        <v>46</v>
      </c>
      <c r="G16">
        <v>36</v>
      </c>
      <c r="H16">
        <v>36</v>
      </c>
      <c r="I16">
        <v>34</v>
      </c>
      <c r="J16">
        <v>29</v>
      </c>
      <c r="K16">
        <v>46</v>
      </c>
      <c r="L16">
        <v>34</v>
      </c>
      <c r="M16">
        <v>36.454545454545453</v>
      </c>
    </row>
    <row r="17" spans="1:13">
      <c r="A17" t="s">
        <v>77</v>
      </c>
      <c r="B17">
        <v>41</v>
      </c>
      <c r="C17">
        <v>41</v>
      </c>
      <c r="D17">
        <v>41</v>
      </c>
      <c r="E17">
        <v>41</v>
      </c>
      <c r="F17">
        <v>46</v>
      </c>
      <c r="G17">
        <v>46</v>
      </c>
      <c r="H17">
        <v>41</v>
      </c>
      <c r="I17">
        <v>41</v>
      </c>
      <c r="J17">
        <v>34</v>
      </c>
      <c r="K17">
        <v>51</v>
      </c>
      <c r="L17">
        <v>41</v>
      </c>
      <c r="M17">
        <v>42.18181818181818</v>
      </c>
    </row>
    <row r="18" spans="1:13">
      <c r="A18" t="s">
        <v>104</v>
      </c>
      <c r="B18">
        <v>41</v>
      </c>
      <c r="C18">
        <v>41</v>
      </c>
      <c r="D18">
        <v>46</v>
      </c>
      <c r="E18">
        <v>41</v>
      </c>
      <c r="F18">
        <v>46</v>
      </c>
      <c r="G18">
        <v>41</v>
      </c>
      <c r="H18">
        <v>46</v>
      </c>
      <c r="I18">
        <v>36</v>
      </c>
      <c r="J18">
        <v>31</v>
      </c>
      <c r="K18">
        <v>51</v>
      </c>
      <c r="L18">
        <v>46</v>
      </c>
      <c r="M18">
        <v>42.363636363636367</v>
      </c>
    </row>
    <row r="19" spans="1:13">
      <c r="A19" t="s">
        <v>118</v>
      </c>
      <c r="B19">
        <v>41</v>
      </c>
      <c r="C19">
        <v>41</v>
      </c>
      <c r="D19">
        <v>41</v>
      </c>
      <c r="E19">
        <v>41</v>
      </c>
      <c r="F19">
        <v>56</v>
      </c>
      <c r="G19">
        <v>41</v>
      </c>
      <c r="H19">
        <v>41</v>
      </c>
      <c r="I19">
        <v>46</v>
      </c>
      <c r="J19">
        <v>31</v>
      </c>
      <c r="K19">
        <v>51</v>
      </c>
      <c r="L19">
        <v>36</v>
      </c>
      <c r="M19">
        <v>42.363636363636367</v>
      </c>
    </row>
    <row r="20" spans="1:13">
      <c r="A20" t="s">
        <v>61</v>
      </c>
      <c r="B20">
        <v>46</v>
      </c>
      <c r="C20">
        <v>41</v>
      </c>
      <c r="D20">
        <v>51</v>
      </c>
      <c r="E20">
        <v>46</v>
      </c>
      <c r="F20">
        <v>46</v>
      </c>
      <c r="G20">
        <v>46</v>
      </c>
      <c r="H20">
        <v>51</v>
      </c>
      <c r="I20">
        <v>41</v>
      </c>
      <c r="J20">
        <v>34</v>
      </c>
      <c r="K20">
        <v>61</v>
      </c>
      <c r="L20">
        <v>51</v>
      </c>
      <c r="M20">
        <v>46.727272727272727</v>
      </c>
    </row>
    <row r="21" spans="1:13">
      <c r="A21" t="s">
        <v>71</v>
      </c>
      <c r="B21">
        <v>51</v>
      </c>
      <c r="C21">
        <v>41</v>
      </c>
      <c r="D21">
        <v>51</v>
      </c>
      <c r="E21">
        <v>46</v>
      </c>
      <c r="F21">
        <v>56</v>
      </c>
      <c r="G21">
        <v>46</v>
      </c>
      <c r="H21">
        <v>51</v>
      </c>
      <c r="I21">
        <v>46</v>
      </c>
      <c r="J21">
        <v>34</v>
      </c>
      <c r="K21">
        <v>61</v>
      </c>
      <c r="L21">
        <v>46</v>
      </c>
      <c r="M21">
        <v>48.090909090909093</v>
      </c>
    </row>
    <row r="22" spans="1:13">
      <c r="A22" t="s">
        <v>196</v>
      </c>
      <c r="B22">
        <v>51</v>
      </c>
      <c r="C22">
        <v>41</v>
      </c>
      <c r="D22">
        <v>51</v>
      </c>
      <c r="E22">
        <v>46</v>
      </c>
      <c r="F22">
        <v>61</v>
      </c>
      <c r="G22">
        <v>51</v>
      </c>
      <c r="H22">
        <v>51</v>
      </c>
      <c r="I22">
        <v>51</v>
      </c>
      <c r="J22">
        <v>34</v>
      </c>
      <c r="K22">
        <v>61</v>
      </c>
      <c r="L22">
        <v>51</v>
      </c>
      <c r="M22">
        <v>49.909090909090907</v>
      </c>
    </row>
    <row r="23" spans="1:13">
      <c r="A23" t="s">
        <v>197</v>
      </c>
      <c r="B23">
        <v>56</v>
      </c>
      <c r="C23">
        <v>51</v>
      </c>
      <c r="D23">
        <v>51</v>
      </c>
      <c r="E23">
        <v>51</v>
      </c>
      <c r="F23">
        <v>67</v>
      </c>
      <c r="G23">
        <v>61</v>
      </c>
      <c r="H23">
        <v>51</v>
      </c>
      <c r="I23">
        <v>61</v>
      </c>
      <c r="J23">
        <v>41</v>
      </c>
      <c r="K23">
        <v>71</v>
      </c>
      <c r="L23">
        <v>56</v>
      </c>
      <c r="M23">
        <v>56.090909090909093</v>
      </c>
    </row>
    <row r="24" spans="1:13">
      <c r="A24" t="s">
        <v>84</v>
      </c>
      <c r="B24">
        <v>61</v>
      </c>
      <c r="C24">
        <v>51</v>
      </c>
      <c r="D24">
        <v>61</v>
      </c>
      <c r="E24">
        <v>61</v>
      </c>
      <c r="F24">
        <v>61</v>
      </c>
      <c r="G24">
        <v>56</v>
      </c>
      <c r="H24">
        <v>61</v>
      </c>
      <c r="I24">
        <v>61</v>
      </c>
      <c r="J24">
        <v>41</v>
      </c>
      <c r="K24">
        <v>71</v>
      </c>
      <c r="L24">
        <v>51</v>
      </c>
      <c r="M24">
        <v>57.81818181818182</v>
      </c>
    </row>
    <row r="25" spans="1:13">
      <c r="A25" t="s">
        <v>81</v>
      </c>
      <c r="B25">
        <v>56</v>
      </c>
      <c r="C25">
        <v>51</v>
      </c>
      <c r="D25">
        <v>56</v>
      </c>
      <c r="E25">
        <v>61</v>
      </c>
      <c r="F25">
        <v>76</v>
      </c>
      <c r="G25">
        <v>56</v>
      </c>
      <c r="H25">
        <v>56</v>
      </c>
      <c r="I25">
        <v>61</v>
      </c>
      <c r="J25">
        <v>41</v>
      </c>
      <c r="K25">
        <v>76</v>
      </c>
      <c r="L25">
        <v>51</v>
      </c>
      <c r="M25">
        <v>58.272727272727273</v>
      </c>
    </row>
    <row r="26" spans="1:13">
      <c r="A26" t="s">
        <v>90</v>
      </c>
      <c r="B26">
        <v>61</v>
      </c>
      <c r="C26">
        <v>67</v>
      </c>
      <c r="D26">
        <v>61</v>
      </c>
      <c r="E26">
        <v>51</v>
      </c>
      <c r="F26">
        <v>61</v>
      </c>
      <c r="G26">
        <v>61</v>
      </c>
      <c r="H26">
        <v>61</v>
      </c>
      <c r="I26">
        <v>51</v>
      </c>
      <c r="J26">
        <v>46</v>
      </c>
      <c r="K26">
        <v>71</v>
      </c>
      <c r="L26">
        <v>51</v>
      </c>
      <c r="M26">
        <v>58.363636363636367</v>
      </c>
    </row>
    <row r="27" spans="1:13">
      <c r="A27" t="s">
        <v>85</v>
      </c>
      <c r="B27">
        <v>67</v>
      </c>
      <c r="C27">
        <v>67</v>
      </c>
      <c r="D27">
        <v>51</v>
      </c>
      <c r="E27">
        <v>61</v>
      </c>
      <c r="F27">
        <v>67</v>
      </c>
      <c r="G27">
        <v>67</v>
      </c>
      <c r="H27">
        <v>51</v>
      </c>
      <c r="I27">
        <v>51</v>
      </c>
      <c r="J27">
        <v>41</v>
      </c>
      <c r="K27">
        <v>76</v>
      </c>
      <c r="L27">
        <v>67</v>
      </c>
      <c r="M27">
        <v>60.545454545454547</v>
      </c>
    </row>
    <row r="28" spans="1:13">
      <c r="A28" t="s">
        <v>198</v>
      </c>
      <c r="B28">
        <v>61</v>
      </c>
      <c r="C28">
        <v>51</v>
      </c>
      <c r="D28">
        <v>61</v>
      </c>
      <c r="E28">
        <v>67</v>
      </c>
      <c r="F28">
        <v>71</v>
      </c>
      <c r="G28">
        <v>61</v>
      </c>
      <c r="H28">
        <v>61</v>
      </c>
      <c r="I28">
        <v>71</v>
      </c>
      <c r="J28">
        <v>46</v>
      </c>
      <c r="K28">
        <v>81</v>
      </c>
      <c r="L28">
        <v>61</v>
      </c>
      <c r="M28">
        <v>62.909090909090907</v>
      </c>
    </row>
    <row r="29" spans="1:13">
      <c r="A29" t="s">
        <v>65</v>
      </c>
      <c r="B29">
        <v>67</v>
      </c>
      <c r="C29">
        <v>51</v>
      </c>
      <c r="D29">
        <v>61</v>
      </c>
      <c r="E29">
        <v>61</v>
      </c>
      <c r="F29">
        <v>71</v>
      </c>
      <c r="G29">
        <v>67</v>
      </c>
      <c r="H29">
        <v>61</v>
      </c>
      <c r="I29">
        <v>61</v>
      </c>
      <c r="J29">
        <v>51</v>
      </c>
      <c r="K29">
        <v>81</v>
      </c>
      <c r="L29">
        <v>67</v>
      </c>
      <c r="M29">
        <v>63.545454545454547</v>
      </c>
    </row>
    <row r="30" spans="1:13">
      <c r="A30" t="s">
        <v>100</v>
      </c>
      <c r="B30">
        <v>67</v>
      </c>
      <c r="C30">
        <v>67</v>
      </c>
      <c r="D30">
        <v>67</v>
      </c>
      <c r="E30">
        <v>67</v>
      </c>
      <c r="F30">
        <v>71</v>
      </c>
      <c r="G30">
        <v>67</v>
      </c>
      <c r="H30">
        <v>67</v>
      </c>
      <c r="I30">
        <v>61</v>
      </c>
      <c r="J30">
        <v>51</v>
      </c>
      <c r="K30">
        <v>81</v>
      </c>
      <c r="L30">
        <v>67</v>
      </c>
      <c r="M30">
        <v>66.63636363636364</v>
      </c>
    </row>
    <row r="31" spans="1:13">
      <c r="A31" t="s">
        <v>68</v>
      </c>
      <c r="B31">
        <v>67</v>
      </c>
      <c r="C31">
        <v>67</v>
      </c>
      <c r="D31">
        <v>67</v>
      </c>
      <c r="E31">
        <v>67</v>
      </c>
      <c r="F31">
        <v>81</v>
      </c>
      <c r="G31">
        <v>67</v>
      </c>
      <c r="H31">
        <v>67</v>
      </c>
      <c r="I31">
        <v>61</v>
      </c>
      <c r="J31">
        <v>51</v>
      </c>
      <c r="K31">
        <v>91</v>
      </c>
      <c r="L31">
        <v>67</v>
      </c>
      <c r="M31">
        <v>68.454545454545453</v>
      </c>
    </row>
    <row r="32" spans="1:13">
      <c r="A32" t="s">
        <v>76</v>
      </c>
      <c r="B32">
        <v>71</v>
      </c>
      <c r="C32">
        <v>67</v>
      </c>
      <c r="D32">
        <v>67</v>
      </c>
      <c r="E32">
        <v>71</v>
      </c>
      <c r="F32">
        <v>67</v>
      </c>
      <c r="G32">
        <v>67</v>
      </c>
      <c r="H32">
        <v>67</v>
      </c>
      <c r="I32">
        <v>71</v>
      </c>
      <c r="J32">
        <v>46</v>
      </c>
      <c r="K32">
        <v>91</v>
      </c>
      <c r="L32">
        <v>71</v>
      </c>
      <c r="M32">
        <v>68.727272727272734</v>
      </c>
    </row>
    <row r="33" spans="1:13">
      <c r="A33" t="s">
        <v>62</v>
      </c>
      <c r="B33">
        <v>61</v>
      </c>
      <c r="C33">
        <v>67</v>
      </c>
      <c r="D33">
        <v>67</v>
      </c>
      <c r="E33">
        <v>61</v>
      </c>
      <c r="F33">
        <v>91</v>
      </c>
      <c r="G33">
        <v>67</v>
      </c>
      <c r="H33">
        <v>67</v>
      </c>
      <c r="I33">
        <v>61</v>
      </c>
      <c r="J33">
        <v>51</v>
      </c>
      <c r="K33">
        <v>101</v>
      </c>
      <c r="L33">
        <v>67</v>
      </c>
      <c r="M33">
        <v>69.181818181818187</v>
      </c>
    </row>
    <row r="34" spans="1:13">
      <c r="A34" t="s">
        <v>89</v>
      </c>
      <c r="B34">
        <v>71</v>
      </c>
      <c r="C34">
        <v>67</v>
      </c>
      <c r="D34">
        <v>71</v>
      </c>
      <c r="E34">
        <v>67</v>
      </c>
      <c r="F34">
        <v>81</v>
      </c>
      <c r="G34">
        <v>71</v>
      </c>
      <c r="H34">
        <v>71</v>
      </c>
      <c r="I34">
        <v>67</v>
      </c>
      <c r="J34">
        <v>51</v>
      </c>
      <c r="K34">
        <v>101</v>
      </c>
      <c r="L34">
        <v>71</v>
      </c>
      <c r="M34">
        <v>71.727272727272734</v>
      </c>
    </row>
    <row r="35" spans="1:13">
      <c r="A35" t="s">
        <v>92</v>
      </c>
      <c r="B35">
        <v>67</v>
      </c>
      <c r="C35">
        <v>67</v>
      </c>
      <c r="D35">
        <v>67</v>
      </c>
      <c r="E35">
        <v>71</v>
      </c>
      <c r="F35">
        <v>101</v>
      </c>
      <c r="G35">
        <v>61</v>
      </c>
      <c r="H35">
        <v>67</v>
      </c>
      <c r="I35">
        <v>71</v>
      </c>
      <c r="J35">
        <v>46</v>
      </c>
      <c r="K35">
        <v>101</v>
      </c>
      <c r="L35">
        <v>71</v>
      </c>
      <c r="M35">
        <v>71.818181818181813</v>
      </c>
    </row>
    <row r="36" spans="1:13">
      <c r="A36" t="s">
        <v>80</v>
      </c>
      <c r="B36">
        <v>76</v>
      </c>
      <c r="C36">
        <v>67</v>
      </c>
      <c r="D36">
        <v>71</v>
      </c>
      <c r="E36">
        <v>71</v>
      </c>
      <c r="F36">
        <v>101</v>
      </c>
      <c r="G36">
        <v>71</v>
      </c>
      <c r="H36">
        <v>71</v>
      </c>
      <c r="I36">
        <v>81</v>
      </c>
      <c r="J36">
        <v>51</v>
      </c>
      <c r="K36">
        <v>101</v>
      </c>
      <c r="L36">
        <v>71</v>
      </c>
      <c r="M36">
        <v>75.63636363636364</v>
      </c>
    </row>
    <row r="37" spans="1:13">
      <c r="A37" t="s">
        <v>86</v>
      </c>
      <c r="B37">
        <v>76</v>
      </c>
      <c r="C37">
        <v>67</v>
      </c>
      <c r="D37">
        <v>67</v>
      </c>
      <c r="E37">
        <v>67</v>
      </c>
      <c r="F37">
        <v>111</v>
      </c>
      <c r="G37">
        <v>71</v>
      </c>
      <c r="H37">
        <v>67</v>
      </c>
      <c r="I37">
        <v>81</v>
      </c>
      <c r="J37">
        <v>56</v>
      </c>
      <c r="K37">
        <v>91</v>
      </c>
      <c r="L37">
        <v>81</v>
      </c>
      <c r="M37">
        <v>75.909090909090907</v>
      </c>
    </row>
    <row r="38" spans="1:13">
      <c r="A38" t="s">
        <v>82</v>
      </c>
      <c r="B38">
        <v>81</v>
      </c>
      <c r="C38">
        <v>67</v>
      </c>
      <c r="D38">
        <v>81</v>
      </c>
      <c r="E38">
        <v>81</v>
      </c>
      <c r="F38">
        <v>91</v>
      </c>
      <c r="G38">
        <v>81</v>
      </c>
      <c r="H38">
        <v>81</v>
      </c>
      <c r="I38">
        <v>71</v>
      </c>
      <c r="J38">
        <v>56</v>
      </c>
      <c r="K38">
        <v>91</v>
      </c>
      <c r="L38">
        <v>67</v>
      </c>
      <c r="M38">
        <v>77.090909090909093</v>
      </c>
    </row>
    <row r="39" spans="1:13">
      <c r="A39" t="s">
        <v>70</v>
      </c>
      <c r="B39">
        <v>81</v>
      </c>
      <c r="C39">
        <v>81</v>
      </c>
      <c r="D39">
        <v>81</v>
      </c>
      <c r="E39">
        <v>81</v>
      </c>
      <c r="F39">
        <v>91</v>
      </c>
      <c r="G39">
        <v>91</v>
      </c>
      <c r="H39">
        <v>81</v>
      </c>
      <c r="I39">
        <v>71</v>
      </c>
      <c r="J39">
        <v>61</v>
      </c>
      <c r="K39">
        <v>91</v>
      </c>
      <c r="L39">
        <v>81</v>
      </c>
      <c r="M39">
        <v>81</v>
      </c>
    </row>
    <row r="40" spans="1:13">
      <c r="A40" t="s">
        <v>110</v>
      </c>
      <c r="B40">
        <v>91</v>
      </c>
      <c r="C40">
        <v>81</v>
      </c>
      <c r="D40">
        <v>91</v>
      </c>
      <c r="E40">
        <v>91</v>
      </c>
      <c r="F40">
        <v>131</v>
      </c>
      <c r="G40">
        <v>91</v>
      </c>
      <c r="H40">
        <v>91</v>
      </c>
      <c r="I40">
        <v>91</v>
      </c>
      <c r="J40">
        <v>71</v>
      </c>
      <c r="K40">
        <v>91</v>
      </c>
      <c r="L40">
        <v>91</v>
      </c>
      <c r="M40">
        <v>91.909090909090907</v>
      </c>
    </row>
    <row r="41" spans="1:13">
      <c r="A41" t="s">
        <v>119</v>
      </c>
      <c r="B41">
        <v>91</v>
      </c>
      <c r="C41">
        <v>81</v>
      </c>
      <c r="D41">
        <v>91</v>
      </c>
      <c r="E41">
        <v>91</v>
      </c>
      <c r="F41">
        <v>111</v>
      </c>
      <c r="G41">
        <v>91</v>
      </c>
      <c r="H41">
        <v>91</v>
      </c>
      <c r="I41">
        <v>101</v>
      </c>
      <c r="J41">
        <v>67</v>
      </c>
      <c r="K41">
        <v>101</v>
      </c>
      <c r="L41">
        <v>101</v>
      </c>
      <c r="M41">
        <v>92.454545454545453</v>
      </c>
    </row>
    <row r="42" spans="1:13">
      <c r="A42" t="s">
        <v>99</v>
      </c>
      <c r="B42">
        <v>126</v>
      </c>
      <c r="C42">
        <v>81</v>
      </c>
      <c r="D42">
        <v>101</v>
      </c>
      <c r="E42">
        <v>91</v>
      </c>
      <c r="F42">
        <v>151</v>
      </c>
      <c r="G42">
        <v>101</v>
      </c>
      <c r="H42">
        <v>101</v>
      </c>
      <c r="I42">
        <v>101</v>
      </c>
      <c r="J42">
        <v>61</v>
      </c>
      <c r="K42">
        <v>101</v>
      </c>
      <c r="L42">
        <v>81</v>
      </c>
      <c r="M42">
        <v>99.63636363636364</v>
      </c>
    </row>
    <row r="43" spans="1:13">
      <c r="A43" t="s">
        <v>83</v>
      </c>
      <c r="B43">
        <v>111</v>
      </c>
      <c r="C43">
        <v>126</v>
      </c>
      <c r="D43">
        <v>111</v>
      </c>
      <c r="E43">
        <v>101</v>
      </c>
      <c r="F43">
        <v>126</v>
      </c>
      <c r="G43">
        <v>101</v>
      </c>
      <c r="H43">
        <v>111</v>
      </c>
      <c r="I43">
        <v>111</v>
      </c>
      <c r="J43">
        <v>81</v>
      </c>
      <c r="K43">
        <v>126</v>
      </c>
      <c r="L43">
        <v>101</v>
      </c>
      <c r="M43">
        <v>109.63636363636364</v>
      </c>
    </row>
    <row r="44" spans="1:13">
      <c r="A44" t="s">
        <v>102</v>
      </c>
      <c r="B44">
        <v>151</v>
      </c>
      <c r="C44">
        <v>151</v>
      </c>
      <c r="D44">
        <v>126</v>
      </c>
      <c r="E44">
        <v>126</v>
      </c>
      <c r="F44">
        <v>161</v>
      </c>
      <c r="G44">
        <v>111</v>
      </c>
      <c r="H44">
        <v>126</v>
      </c>
      <c r="I44">
        <v>111</v>
      </c>
      <c r="J44">
        <v>91</v>
      </c>
      <c r="K44">
        <v>126</v>
      </c>
      <c r="L44">
        <v>126</v>
      </c>
      <c r="M44">
        <v>127.81818181818181</v>
      </c>
    </row>
    <row r="45" spans="1:13">
      <c r="A45" t="s">
        <v>78</v>
      </c>
      <c r="B45">
        <v>141</v>
      </c>
      <c r="C45">
        <v>126</v>
      </c>
      <c r="D45">
        <v>126</v>
      </c>
      <c r="E45">
        <v>126</v>
      </c>
      <c r="F45">
        <v>151</v>
      </c>
      <c r="G45">
        <v>126</v>
      </c>
      <c r="H45">
        <v>126</v>
      </c>
      <c r="I45">
        <v>151</v>
      </c>
      <c r="J45">
        <v>81</v>
      </c>
      <c r="K45">
        <v>151</v>
      </c>
      <c r="L45">
        <v>126</v>
      </c>
      <c r="M45">
        <v>130.09090909090909</v>
      </c>
    </row>
    <row r="46" spans="1:13">
      <c r="A46" t="s">
        <v>117</v>
      </c>
      <c r="B46">
        <v>141</v>
      </c>
      <c r="C46">
        <v>101</v>
      </c>
      <c r="D46">
        <v>126</v>
      </c>
      <c r="E46">
        <v>126</v>
      </c>
      <c r="F46">
        <v>181</v>
      </c>
      <c r="G46">
        <v>126</v>
      </c>
      <c r="H46">
        <v>126</v>
      </c>
      <c r="I46">
        <v>141</v>
      </c>
      <c r="J46">
        <v>101</v>
      </c>
      <c r="K46">
        <v>151</v>
      </c>
      <c r="L46">
        <v>126</v>
      </c>
      <c r="M46">
        <v>131.45454545454547</v>
      </c>
    </row>
    <row r="47" spans="1:13">
      <c r="A47" t="s">
        <v>66</v>
      </c>
      <c r="B47">
        <v>141</v>
      </c>
      <c r="C47">
        <v>126</v>
      </c>
      <c r="D47">
        <v>126</v>
      </c>
      <c r="E47">
        <v>126</v>
      </c>
      <c r="F47">
        <v>151</v>
      </c>
      <c r="G47">
        <v>126</v>
      </c>
      <c r="H47">
        <v>126</v>
      </c>
      <c r="I47">
        <v>151</v>
      </c>
      <c r="J47">
        <v>101</v>
      </c>
      <c r="K47">
        <v>151</v>
      </c>
      <c r="L47">
        <v>126</v>
      </c>
      <c r="M47">
        <v>131.90909090909091</v>
      </c>
    </row>
    <row r="48" spans="1:13">
      <c r="A48" t="s">
        <v>87</v>
      </c>
      <c r="B48">
        <v>141</v>
      </c>
      <c r="C48">
        <v>126</v>
      </c>
      <c r="D48">
        <v>126</v>
      </c>
      <c r="E48">
        <v>126</v>
      </c>
      <c r="F48">
        <v>181</v>
      </c>
      <c r="G48">
        <v>151</v>
      </c>
      <c r="H48">
        <v>126</v>
      </c>
      <c r="I48">
        <v>141</v>
      </c>
      <c r="J48">
        <v>91</v>
      </c>
      <c r="K48">
        <v>151</v>
      </c>
      <c r="L48">
        <v>101</v>
      </c>
      <c r="M48">
        <v>132.81818181818181</v>
      </c>
    </row>
    <row r="49" spans="1:13">
      <c r="A49" t="s">
        <v>69</v>
      </c>
      <c r="B49">
        <v>161</v>
      </c>
      <c r="C49">
        <v>126</v>
      </c>
      <c r="D49">
        <v>151</v>
      </c>
      <c r="E49">
        <v>151</v>
      </c>
      <c r="F49">
        <v>181</v>
      </c>
      <c r="G49">
        <v>151</v>
      </c>
      <c r="H49">
        <v>151</v>
      </c>
      <c r="I49">
        <v>151</v>
      </c>
      <c r="J49">
        <v>101</v>
      </c>
      <c r="K49">
        <v>151</v>
      </c>
      <c r="L49">
        <v>126</v>
      </c>
      <c r="M49">
        <v>145.54545454545453</v>
      </c>
    </row>
    <row r="50" spans="1:13">
      <c r="A50" t="s">
        <v>75</v>
      </c>
      <c r="B50">
        <v>151</v>
      </c>
      <c r="C50">
        <v>151</v>
      </c>
      <c r="D50">
        <v>151</v>
      </c>
      <c r="E50">
        <v>151</v>
      </c>
      <c r="F50">
        <v>181</v>
      </c>
      <c r="G50">
        <v>126</v>
      </c>
      <c r="H50">
        <v>151</v>
      </c>
      <c r="I50">
        <v>201</v>
      </c>
      <c r="J50">
        <v>101</v>
      </c>
      <c r="K50">
        <v>126</v>
      </c>
      <c r="L50">
        <v>151</v>
      </c>
      <c r="M50">
        <v>149.18181818181819</v>
      </c>
    </row>
    <row r="51" spans="1:13">
      <c r="A51" t="s">
        <v>105</v>
      </c>
      <c r="B51">
        <v>151</v>
      </c>
      <c r="C51">
        <v>201</v>
      </c>
      <c r="D51">
        <v>151</v>
      </c>
      <c r="E51">
        <v>151</v>
      </c>
      <c r="F51">
        <v>161</v>
      </c>
      <c r="G51">
        <v>151</v>
      </c>
      <c r="H51">
        <v>151</v>
      </c>
      <c r="I51">
        <v>176</v>
      </c>
      <c r="J51">
        <v>91</v>
      </c>
      <c r="K51">
        <v>176</v>
      </c>
      <c r="L51">
        <v>151</v>
      </c>
      <c r="M51">
        <v>155.54545454545453</v>
      </c>
    </row>
    <row r="52" spans="1:13">
      <c r="A52" t="s">
        <v>97</v>
      </c>
      <c r="B52">
        <v>151</v>
      </c>
      <c r="C52">
        <v>151</v>
      </c>
      <c r="D52">
        <v>151</v>
      </c>
      <c r="E52">
        <v>151</v>
      </c>
      <c r="F52">
        <v>226</v>
      </c>
      <c r="G52">
        <v>126</v>
      </c>
      <c r="H52">
        <v>151</v>
      </c>
      <c r="I52">
        <v>176</v>
      </c>
      <c r="J52">
        <v>101</v>
      </c>
      <c r="K52">
        <v>176</v>
      </c>
      <c r="L52">
        <v>151</v>
      </c>
      <c r="M52">
        <v>155.54545454545453</v>
      </c>
    </row>
    <row r="53" spans="1:13">
      <c r="A53" t="s">
        <v>199</v>
      </c>
      <c r="B53">
        <v>176</v>
      </c>
      <c r="C53">
        <v>151</v>
      </c>
      <c r="D53">
        <v>151</v>
      </c>
      <c r="E53">
        <v>151</v>
      </c>
      <c r="F53">
        <v>161</v>
      </c>
      <c r="G53">
        <v>126</v>
      </c>
      <c r="H53">
        <v>151</v>
      </c>
      <c r="I53">
        <v>176</v>
      </c>
      <c r="J53">
        <v>101</v>
      </c>
      <c r="K53">
        <v>201</v>
      </c>
      <c r="L53">
        <v>176</v>
      </c>
      <c r="M53">
        <v>156.45454545454547</v>
      </c>
    </row>
    <row r="54" spans="1:13">
      <c r="A54" t="s">
        <v>112</v>
      </c>
      <c r="B54">
        <v>201</v>
      </c>
      <c r="C54">
        <v>151</v>
      </c>
      <c r="D54">
        <v>176</v>
      </c>
      <c r="E54">
        <v>151</v>
      </c>
      <c r="F54">
        <v>226</v>
      </c>
      <c r="G54">
        <v>151</v>
      </c>
      <c r="H54">
        <v>176</v>
      </c>
      <c r="I54">
        <v>176</v>
      </c>
      <c r="J54">
        <v>101</v>
      </c>
      <c r="K54">
        <v>151</v>
      </c>
      <c r="L54">
        <v>201</v>
      </c>
      <c r="M54">
        <v>169.18181818181819</v>
      </c>
    </row>
    <row r="55" spans="1:13">
      <c r="A55" t="s">
        <v>88</v>
      </c>
      <c r="B55">
        <v>201</v>
      </c>
      <c r="C55">
        <v>151</v>
      </c>
      <c r="D55">
        <v>176</v>
      </c>
      <c r="E55">
        <v>151</v>
      </c>
      <c r="F55">
        <v>276</v>
      </c>
      <c r="G55">
        <v>151</v>
      </c>
      <c r="H55">
        <v>176</v>
      </c>
      <c r="I55">
        <v>201</v>
      </c>
      <c r="J55">
        <v>101</v>
      </c>
      <c r="K55">
        <v>176</v>
      </c>
      <c r="L55">
        <v>176</v>
      </c>
      <c r="M55">
        <v>176</v>
      </c>
    </row>
    <row r="56" spans="1:13">
      <c r="A56" t="s">
        <v>109</v>
      </c>
      <c r="B56">
        <v>201</v>
      </c>
      <c r="C56">
        <v>151</v>
      </c>
      <c r="D56">
        <v>201</v>
      </c>
      <c r="E56">
        <v>201</v>
      </c>
      <c r="F56">
        <v>251</v>
      </c>
      <c r="G56">
        <v>201</v>
      </c>
      <c r="H56">
        <v>201</v>
      </c>
      <c r="I56">
        <v>151</v>
      </c>
      <c r="J56">
        <v>101</v>
      </c>
      <c r="K56">
        <v>176</v>
      </c>
      <c r="L56">
        <v>201</v>
      </c>
      <c r="M56">
        <v>185.09090909090909</v>
      </c>
    </row>
    <row r="57" spans="1:13">
      <c r="A57" t="s">
        <v>98</v>
      </c>
      <c r="B57">
        <v>201</v>
      </c>
      <c r="C57">
        <v>151</v>
      </c>
      <c r="D57">
        <v>201</v>
      </c>
      <c r="E57">
        <v>201</v>
      </c>
      <c r="F57">
        <v>226</v>
      </c>
      <c r="G57">
        <v>201</v>
      </c>
      <c r="H57">
        <v>201</v>
      </c>
      <c r="I57">
        <v>201</v>
      </c>
      <c r="J57">
        <v>126</v>
      </c>
      <c r="K57">
        <v>201</v>
      </c>
      <c r="L57">
        <v>151</v>
      </c>
      <c r="M57">
        <v>187.36363636363637</v>
      </c>
    </row>
    <row r="58" spans="1:13">
      <c r="A58" t="s">
        <v>107</v>
      </c>
      <c r="B58">
        <v>201</v>
      </c>
      <c r="C58">
        <v>151</v>
      </c>
      <c r="D58">
        <v>201</v>
      </c>
      <c r="E58">
        <v>201</v>
      </c>
      <c r="F58">
        <v>226</v>
      </c>
      <c r="G58">
        <v>201</v>
      </c>
      <c r="H58">
        <v>201</v>
      </c>
      <c r="I58">
        <v>201</v>
      </c>
      <c r="J58">
        <v>126</v>
      </c>
      <c r="K58">
        <v>201</v>
      </c>
      <c r="L58">
        <v>176</v>
      </c>
      <c r="M58">
        <v>189.63636363636363</v>
      </c>
    </row>
    <row r="59" spans="1:13">
      <c r="A59" t="s">
        <v>125</v>
      </c>
      <c r="B59">
        <v>226</v>
      </c>
      <c r="C59">
        <v>201</v>
      </c>
      <c r="D59">
        <v>201</v>
      </c>
      <c r="E59">
        <v>201</v>
      </c>
      <c r="F59">
        <v>251</v>
      </c>
      <c r="G59">
        <v>201</v>
      </c>
      <c r="H59">
        <v>201</v>
      </c>
      <c r="I59">
        <v>176</v>
      </c>
      <c r="J59">
        <v>111</v>
      </c>
      <c r="K59">
        <v>201</v>
      </c>
      <c r="L59">
        <v>201</v>
      </c>
      <c r="M59">
        <v>197.36363636363637</v>
      </c>
    </row>
    <row r="60" spans="1:13">
      <c r="A60" t="s">
        <v>91</v>
      </c>
      <c r="B60">
        <v>201</v>
      </c>
      <c r="C60">
        <v>251</v>
      </c>
      <c r="D60">
        <v>201</v>
      </c>
      <c r="E60">
        <v>201</v>
      </c>
      <c r="F60">
        <v>251</v>
      </c>
      <c r="G60">
        <v>201</v>
      </c>
      <c r="H60">
        <v>201</v>
      </c>
      <c r="I60">
        <v>201</v>
      </c>
      <c r="J60">
        <v>126</v>
      </c>
      <c r="K60">
        <v>251</v>
      </c>
      <c r="L60">
        <v>176</v>
      </c>
      <c r="M60">
        <v>205.54545454545453</v>
      </c>
    </row>
    <row r="61" spans="1:13">
      <c r="A61" t="s">
        <v>93</v>
      </c>
      <c r="B61">
        <v>226</v>
      </c>
      <c r="C61">
        <v>251</v>
      </c>
      <c r="D61">
        <v>176</v>
      </c>
      <c r="E61">
        <v>201</v>
      </c>
      <c r="F61">
        <v>226</v>
      </c>
      <c r="G61">
        <v>176</v>
      </c>
      <c r="H61">
        <v>176</v>
      </c>
      <c r="I61">
        <v>201</v>
      </c>
      <c r="J61">
        <v>151</v>
      </c>
      <c r="K61">
        <v>251</v>
      </c>
      <c r="L61">
        <v>251</v>
      </c>
      <c r="M61">
        <v>207.81818181818181</v>
      </c>
    </row>
    <row r="62" spans="1:13">
      <c r="A62" t="s">
        <v>111</v>
      </c>
      <c r="B62">
        <v>226</v>
      </c>
      <c r="C62">
        <v>201</v>
      </c>
      <c r="D62">
        <v>151</v>
      </c>
      <c r="E62">
        <v>201</v>
      </c>
      <c r="F62">
        <v>401</v>
      </c>
      <c r="G62">
        <v>201</v>
      </c>
      <c r="H62">
        <v>151</v>
      </c>
      <c r="I62">
        <v>201</v>
      </c>
      <c r="J62">
        <v>151</v>
      </c>
      <c r="K62">
        <v>251</v>
      </c>
      <c r="L62">
        <v>201</v>
      </c>
      <c r="M62">
        <v>212.36363636363637</v>
      </c>
    </row>
    <row r="63" spans="1:13">
      <c r="A63" t="s">
        <v>96</v>
      </c>
      <c r="B63">
        <v>251</v>
      </c>
      <c r="C63">
        <v>201</v>
      </c>
      <c r="D63">
        <v>251</v>
      </c>
      <c r="E63">
        <v>201</v>
      </c>
      <c r="F63">
        <v>276</v>
      </c>
      <c r="G63">
        <v>151</v>
      </c>
      <c r="H63">
        <v>251</v>
      </c>
      <c r="I63">
        <v>226</v>
      </c>
      <c r="J63">
        <v>126</v>
      </c>
      <c r="K63">
        <v>251</v>
      </c>
      <c r="L63">
        <v>201</v>
      </c>
      <c r="M63">
        <v>216.90909090909091</v>
      </c>
    </row>
    <row r="64" spans="1:13">
      <c r="A64" t="s">
        <v>121</v>
      </c>
      <c r="B64">
        <v>226</v>
      </c>
      <c r="C64">
        <v>201</v>
      </c>
      <c r="D64">
        <v>251</v>
      </c>
      <c r="E64">
        <v>201</v>
      </c>
      <c r="F64">
        <v>351</v>
      </c>
      <c r="G64">
        <v>201</v>
      </c>
      <c r="H64">
        <v>251</v>
      </c>
      <c r="I64">
        <v>176</v>
      </c>
      <c r="J64">
        <v>126</v>
      </c>
      <c r="K64">
        <v>251</v>
      </c>
      <c r="L64">
        <v>201</v>
      </c>
      <c r="M64">
        <v>221.45454545454547</v>
      </c>
    </row>
    <row r="65" spans="1:13">
      <c r="A65" t="s">
        <v>103</v>
      </c>
      <c r="B65">
        <v>226</v>
      </c>
      <c r="C65">
        <v>201</v>
      </c>
      <c r="D65">
        <v>251</v>
      </c>
      <c r="E65">
        <v>201</v>
      </c>
      <c r="F65">
        <v>276</v>
      </c>
      <c r="G65">
        <v>251</v>
      </c>
      <c r="H65">
        <v>251</v>
      </c>
      <c r="I65">
        <v>201</v>
      </c>
      <c r="J65">
        <v>151</v>
      </c>
      <c r="K65">
        <v>301</v>
      </c>
      <c r="L65">
        <v>201</v>
      </c>
      <c r="M65">
        <v>228.27272727272728</v>
      </c>
    </row>
    <row r="66" spans="1:13">
      <c r="A66" t="s">
        <v>116</v>
      </c>
      <c r="B66">
        <v>251</v>
      </c>
      <c r="C66">
        <v>251</v>
      </c>
      <c r="D66">
        <v>251</v>
      </c>
      <c r="E66">
        <v>201</v>
      </c>
      <c r="F66">
        <v>276</v>
      </c>
      <c r="G66">
        <v>201</v>
      </c>
      <c r="H66">
        <v>251</v>
      </c>
      <c r="I66">
        <v>251</v>
      </c>
      <c r="J66">
        <v>151</v>
      </c>
      <c r="K66">
        <v>251</v>
      </c>
      <c r="L66">
        <v>176</v>
      </c>
      <c r="M66">
        <v>228.27272727272728</v>
      </c>
    </row>
    <row r="67" spans="1:13">
      <c r="A67" t="s">
        <v>200</v>
      </c>
      <c r="B67">
        <v>251</v>
      </c>
      <c r="C67">
        <v>201</v>
      </c>
      <c r="D67">
        <v>201</v>
      </c>
      <c r="E67">
        <v>201</v>
      </c>
      <c r="F67">
        <v>351</v>
      </c>
      <c r="G67">
        <v>251</v>
      </c>
      <c r="H67">
        <v>201</v>
      </c>
      <c r="I67">
        <v>301</v>
      </c>
      <c r="J67">
        <v>151</v>
      </c>
      <c r="K67">
        <v>251</v>
      </c>
      <c r="L67">
        <v>201</v>
      </c>
      <c r="M67">
        <v>232.81818181818181</v>
      </c>
    </row>
    <row r="68" spans="1:13">
      <c r="A68" t="s">
        <v>201</v>
      </c>
      <c r="B68">
        <v>276</v>
      </c>
      <c r="C68">
        <v>201</v>
      </c>
      <c r="D68">
        <v>251</v>
      </c>
      <c r="E68">
        <v>201</v>
      </c>
      <c r="F68">
        <v>351</v>
      </c>
      <c r="G68">
        <v>251</v>
      </c>
      <c r="H68">
        <v>251</v>
      </c>
      <c r="I68">
        <v>226</v>
      </c>
      <c r="J68">
        <v>151</v>
      </c>
      <c r="K68">
        <v>251</v>
      </c>
      <c r="L68">
        <v>251</v>
      </c>
      <c r="M68">
        <v>241.90909090909091</v>
      </c>
    </row>
    <row r="69" spans="1:13">
      <c r="A69" t="s">
        <v>202</v>
      </c>
      <c r="B69">
        <v>251</v>
      </c>
      <c r="C69">
        <v>201</v>
      </c>
      <c r="D69">
        <v>251</v>
      </c>
      <c r="E69">
        <v>251</v>
      </c>
      <c r="F69">
        <v>351</v>
      </c>
      <c r="G69">
        <v>251</v>
      </c>
      <c r="H69">
        <v>251</v>
      </c>
      <c r="I69">
        <v>226</v>
      </c>
      <c r="J69">
        <v>151</v>
      </c>
      <c r="K69">
        <v>251</v>
      </c>
      <c r="L69">
        <v>251</v>
      </c>
      <c r="M69">
        <v>244.18181818181819</v>
      </c>
    </row>
    <row r="70" spans="1:13">
      <c r="A70" t="s">
        <v>95</v>
      </c>
      <c r="B70">
        <v>276</v>
      </c>
      <c r="C70">
        <v>251</v>
      </c>
      <c r="D70">
        <v>251</v>
      </c>
      <c r="E70">
        <v>251</v>
      </c>
      <c r="F70">
        <v>326</v>
      </c>
      <c r="G70">
        <v>201</v>
      </c>
      <c r="H70">
        <v>251</v>
      </c>
      <c r="I70">
        <v>226</v>
      </c>
      <c r="J70">
        <v>151</v>
      </c>
      <c r="K70">
        <v>301</v>
      </c>
      <c r="L70">
        <v>251</v>
      </c>
      <c r="M70">
        <v>248.72727272727272</v>
      </c>
    </row>
    <row r="71" spans="1:13">
      <c r="A71" t="s">
        <v>106</v>
      </c>
      <c r="B71">
        <v>301</v>
      </c>
      <c r="C71">
        <v>201</v>
      </c>
      <c r="D71">
        <v>301</v>
      </c>
      <c r="E71">
        <v>301</v>
      </c>
      <c r="F71">
        <v>301</v>
      </c>
      <c r="G71">
        <v>301</v>
      </c>
      <c r="H71">
        <v>301</v>
      </c>
      <c r="I71">
        <v>251</v>
      </c>
      <c r="J71">
        <v>151</v>
      </c>
      <c r="K71">
        <v>301</v>
      </c>
      <c r="L71">
        <v>251</v>
      </c>
      <c r="M71">
        <v>269.18181818181819</v>
      </c>
    </row>
    <row r="72" spans="1:13">
      <c r="A72" t="s">
        <v>108</v>
      </c>
      <c r="B72">
        <v>301</v>
      </c>
      <c r="C72">
        <v>201</v>
      </c>
      <c r="D72">
        <v>251</v>
      </c>
      <c r="E72">
        <v>251</v>
      </c>
      <c r="F72">
        <v>376</v>
      </c>
      <c r="G72">
        <v>301</v>
      </c>
      <c r="H72">
        <v>251</v>
      </c>
      <c r="I72">
        <v>301</v>
      </c>
      <c r="J72">
        <v>151</v>
      </c>
      <c r="K72">
        <v>351</v>
      </c>
      <c r="L72">
        <v>251</v>
      </c>
      <c r="M72">
        <v>271.45454545454544</v>
      </c>
    </row>
    <row r="73" spans="1:13">
      <c r="A73" t="s">
        <v>101</v>
      </c>
      <c r="B73">
        <v>351</v>
      </c>
      <c r="C73">
        <v>251</v>
      </c>
      <c r="D73">
        <v>251</v>
      </c>
      <c r="E73">
        <v>201</v>
      </c>
      <c r="F73">
        <v>426</v>
      </c>
      <c r="G73">
        <v>251</v>
      </c>
      <c r="H73">
        <v>251</v>
      </c>
      <c r="I73">
        <v>251</v>
      </c>
      <c r="J73">
        <v>201</v>
      </c>
      <c r="K73">
        <v>351</v>
      </c>
      <c r="L73">
        <v>251</v>
      </c>
      <c r="M73">
        <v>276</v>
      </c>
    </row>
    <row r="74" spans="1:13">
      <c r="A74" t="s">
        <v>94</v>
      </c>
      <c r="B74">
        <v>351</v>
      </c>
      <c r="C74">
        <v>251</v>
      </c>
      <c r="D74">
        <v>251</v>
      </c>
      <c r="E74">
        <v>301</v>
      </c>
      <c r="F74">
        <v>401</v>
      </c>
      <c r="G74">
        <v>301</v>
      </c>
      <c r="H74">
        <v>251</v>
      </c>
      <c r="I74">
        <v>351</v>
      </c>
      <c r="J74">
        <v>201</v>
      </c>
      <c r="K74">
        <v>351</v>
      </c>
      <c r="L74">
        <v>251</v>
      </c>
      <c r="M74">
        <v>296.45454545454544</v>
      </c>
    </row>
    <row r="75" spans="1:13">
      <c r="A75" t="s">
        <v>126</v>
      </c>
      <c r="B75">
        <v>351</v>
      </c>
      <c r="C75">
        <v>301</v>
      </c>
      <c r="D75">
        <v>301</v>
      </c>
      <c r="E75">
        <v>301</v>
      </c>
      <c r="F75">
        <v>551</v>
      </c>
      <c r="G75">
        <v>401</v>
      </c>
      <c r="H75">
        <v>301</v>
      </c>
      <c r="I75">
        <v>251</v>
      </c>
      <c r="J75">
        <v>201</v>
      </c>
      <c r="K75">
        <v>401</v>
      </c>
      <c r="L75">
        <v>351</v>
      </c>
      <c r="M75">
        <v>337.36363636363637</v>
      </c>
    </row>
    <row r="76" spans="1:13">
      <c r="A76" t="s">
        <v>124</v>
      </c>
      <c r="B76">
        <v>501</v>
      </c>
      <c r="C76">
        <v>401</v>
      </c>
      <c r="D76">
        <v>401</v>
      </c>
      <c r="E76">
        <v>401</v>
      </c>
      <c r="F76">
        <v>551</v>
      </c>
      <c r="G76">
        <v>401</v>
      </c>
      <c r="H76">
        <v>401</v>
      </c>
      <c r="I76">
        <v>501</v>
      </c>
      <c r="J76">
        <v>251</v>
      </c>
      <c r="K76">
        <v>401</v>
      </c>
      <c r="L76">
        <v>501</v>
      </c>
      <c r="M76">
        <v>428.27272727272725</v>
      </c>
    </row>
    <row r="77" spans="1:13">
      <c r="A77" t="s">
        <v>120</v>
      </c>
      <c r="B77">
        <v>401</v>
      </c>
      <c r="C77">
        <v>301</v>
      </c>
      <c r="D77">
        <v>351</v>
      </c>
      <c r="E77">
        <v>351</v>
      </c>
      <c r="F77">
        <v>1001</v>
      </c>
      <c r="G77">
        <v>351</v>
      </c>
      <c r="H77">
        <v>351</v>
      </c>
      <c r="I77">
        <v>501</v>
      </c>
      <c r="J77">
        <v>301</v>
      </c>
      <c r="K77">
        <v>351</v>
      </c>
      <c r="L77">
        <v>501</v>
      </c>
      <c r="M77">
        <v>432.81818181818181</v>
      </c>
    </row>
    <row r="78" spans="1:13">
      <c r="A78" t="s">
        <v>115</v>
      </c>
      <c r="B78">
        <v>501</v>
      </c>
      <c r="C78">
        <v>301</v>
      </c>
      <c r="D78">
        <v>401</v>
      </c>
      <c r="E78">
        <v>401</v>
      </c>
      <c r="F78">
        <v>1001</v>
      </c>
      <c r="G78">
        <v>401</v>
      </c>
      <c r="H78">
        <v>401</v>
      </c>
      <c r="I78">
        <v>351</v>
      </c>
      <c r="J78">
        <v>251</v>
      </c>
      <c r="K78">
        <v>501</v>
      </c>
      <c r="L78">
        <v>351</v>
      </c>
      <c r="M78">
        <v>441.90909090909093</v>
      </c>
    </row>
    <row r="79" spans="1:13">
      <c r="A79" t="s">
        <v>123</v>
      </c>
      <c r="B79">
        <v>601</v>
      </c>
      <c r="C79">
        <v>501</v>
      </c>
      <c r="D79">
        <v>401</v>
      </c>
      <c r="E79">
        <v>501</v>
      </c>
      <c r="F79">
        <v>1001</v>
      </c>
      <c r="G79">
        <v>601</v>
      </c>
      <c r="H79">
        <v>401</v>
      </c>
      <c r="I79">
        <v>401</v>
      </c>
      <c r="J79">
        <v>401</v>
      </c>
      <c r="K79">
        <v>501</v>
      </c>
      <c r="L79">
        <v>501</v>
      </c>
      <c r="M79">
        <v>528.27272727272725</v>
      </c>
    </row>
    <row r="80" spans="1:13">
      <c r="A80" t="s">
        <v>114</v>
      </c>
      <c r="B80">
        <v>1001</v>
      </c>
      <c r="C80">
        <v>501</v>
      </c>
      <c r="D80">
        <v>501</v>
      </c>
      <c r="E80">
        <v>751</v>
      </c>
      <c r="F80">
        <v>551</v>
      </c>
      <c r="G80">
        <v>501</v>
      </c>
      <c r="H80">
        <v>501</v>
      </c>
      <c r="I80">
        <v>1001</v>
      </c>
      <c r="J80">
        <v>501</v>
      </c>
      <c r="K80">
        <v>751</v>
      </c>
      <c r="L80">
        <v>501</v>
      </c>
      <c r="M80">
        <v>641.90909090909088</v>
      </c>
    </row>
    <row r="81" spans="1:13">
      <c r="A81" t="s">
        <v>122</v>
      </c>
      <c r="B81">
        <v>1501</v>
      </c>
      <c r="C81">
        <v>1001</v>
      </c>
      <c r="D81">
        <v>751</v>
      </c>
      <c r="E81">
        <v>751</v>
      </c>
      <c r="F81">
        <v>801</v>
      </c>
      <c r="G81">
        <v>751</v>
      </c>
      <c r="H81">
        <v>751</v>
      </c>
      <c r="I81">
        <v>1001</v>
      </c>
      <c r="J81">
        <v>501</v>
      </c>
      <c r="K81">
        <v>1001</v>
      </c>
      <c r="L81">
        <v>751</v>
      </c>
      <c r="M81">
        <v>869.18181818181813</v>
      </c>
    </row>
    <row r="82" spans="1:13">
      <c r="A82" t="s">
        <v>203</v>
      </c>
      <c r="B82">
        <v>1251</v>
      </c>
      <c r="C82">
        <v>1001</v>
      </c>
      <c r="D82">
        <v>1001</v>
      </c>
      <c r="E82">
        <v>751</v>
      </c>
      <c r="F82">
        <v>1001</v>
      </c>
      <c r="G82">
        <v>1001</v>
      </c>
      <c r="H82">
        <v>1001</v>
      </c>
      <c r="I82">
        <v>1001</v>
      </c>
      <c r="J82">
        <v>751</v>
      </c>
      <c r="K82">
        <v>1001</v>
      </c>
      <c r="L82">
        <v>1001</v>
      </c>
      <c r="M82">
        <v>978.27272727272725</v>
      </c>
    </row>
    <row r="83" spans="1:13">
      <c r="A83" t="s">
        <v>204</v>
      </c>
      <c r="B83">
        <v>1251</v>
      </c>
      <c r="C83">
        <v>1001</v>
      </c>
      <c r="D83">
        <v>1001</v>
      </c>
      <c r="E83">
        <v>751</v>
      </c>
      <c r="F83">
        <v>1001</v>
      </c>
      <c r="G83">
        <v>1001</v>
      </c>
      <c r="H83">
        <v>1001</v>
      </c>
      <c r="I83">
        <v>1001</v>
      </c>
      <c r="J83">
        <v>1001</v>
      </c>
      <c r="K83">
        <v>1001</v>
      </c>
      <c r="L83">
        <v>1001</v>
      </c>
      <c r="M83">
        <v>1001</v>
      </c>
    </row>
    <row r="84" spans="1:13">
      <c r="A84" t="s">
        <v>128</v>
      </c>
      <c r="B84">
        <v>1501</v>
      </c>
      <c r="C84">
        <v>1001</v>
      </c>
      <c r="D84">
        <v>1001</v>
      </c>
      <c r="E84">
        <v>751</v>
      </c>
      <c r="F84">
        <v>1001</v>
      </c>
      <c r="G84">
        <v>1001</v>
      </c>
      <c r="H84">
        <v>1001</v>
      </c>
      <c r="I84">
        <v>1001</v>
      </c>
      <c r="J84">
        <v>1001</v>
      </c>
      <c r="K84">
        <v>1001</v>
      </c>
      <c r="L84">
        <v>1001</v>
      </c>
      <c r="M84">
        <v>1023.7272727272727</v>
      </c>
    </row>
    <row r="85" spans="1:13">
      <c r="A85" t="s">
        <v>205</v>
      </c>
      <c r="B85">
        <v>1501</v>
      </c>
      <c r="C85">
        <v>1001</v>
      </c>
      <c r="D85">
        <v>1001</v>
      </c>
      <c r="E85">
        <v>751</v>
      </c>
      <c r="G85">
        <v>1501</v>
      </c>
      <c r="H85">
        <v>1001</v>
      </c>
      <c r="I85">
        <v>1001</v>
      </c>
      <c r="J85">
        <v>751</v>
      </c>
      <c r="K85">
        <v>1001</v>
      </c>
      <c r="L85">
        <v>1001</v>
      </c>
      <c r="M85">
        <v>1051</v>
      </c>
    </row>
    <row r="86" spans="1:13">
      <c r="A86" t="s">
        <v>127</v>
      </c>
      <c r="B86">
        <v>2001</v>
      </c>
      <c r="C86">
        <v>2001</v>
      </c>
      <c r="D86">
        <v>1001</v>
      </c>
      <c r="E86">
        <v>751</v>
      </c>
      <c r="F86">
        <v>1001</v>
      </c>
      <c r="G86">
        <v>2001</v>
      </c>
      <c r="H86">
        <v>1001</v>
      </c>
      <c r="I86">
        <v>1001</v>
      </c>
      <c r="J86">
        <v>1001</v>
      </c>
      <c r="K86">
        <v>1001</v>
      </c>
      <c r="L86">
        <v>1001</v>
      </c>
      <c r="M86">
        <v>1251</v>
      </c>
    </row>
    <row r="87" spans="1:13">
      <c r="A87" t="s">
        <v>206</v>
      </c>
      <c r="B87">
        <v>2501</v>
      </c>
      <c r="C87">
        <v>1501</v>
      </c>
      <c r="D87">
        <v>1001</v>
      </c>
      <c r="E87">
        <v>751</v>
      </c>
      <c r="F87">
        <v>1001</v>
      </c>
      <c r="G87">
        <v>2001</v>
      </c>
      <c r="H87">
        <v>1001</v>
      </c>
      <c r="I87">
        <v>1001</v>
      </c>
      <c r="J87">
        <v>1001</v>
      </c>
      <c r="K87">
        <v>1001</v>
      </c>
      <c r="L87">
        <v>1001</v>
      </c>
      <c r="M87">
        <v>1251</v>
      </c>
    </row>
    <row r="88" spans="1:13">
      <c r="A88" t="s">
        <v>207</v>
      </c>
      <c r="B88">
        <v>2501</v>
      </c>
      <c r="C88">
        <v>1501</v>
      </c>
      <c r="D88">
        <v>1001</v>
      </c>
      <c r="E88">
        <v>751</v>
      </c>
      <c r="F88">
        <v>1001</v>
      </c>
      <c r="G88">
        <v>2001</v>
      </c>
      <c r="H88">
        <v>1001</v>
      </c>
      <c r="I88">
        <v>1001</v>
      </c>
      <c r="J88">
        <v>1001</v>
      </c>
      <c r="K88">
        <v>1001</v>
      </c>
      <c r="L88">
        <v>1001</v>
      </c>
      <c r="M88">
        <v>1251</v>
      </c>
    </row>
    <row r="89" spans="1:13">
      <c r="A89" t="s">
        <v>130</v>
      </c>
      <c r="B89">
        <v>2501</v>
      </c>
      <c r="C89">
        <v>1501</v>
      </c>
      <c r="D89">
        <v>1501</v>
      </c>
      <c r="E89">
        <v>751</v>
      </c>
      <c r="F89">
        <v>1001</v>
      </c>
      <c r="G89">
        <v>2001</v>
      </c>
      <c r="H89">
        <v>1001</v>
      </c>
      <c r="I89">
        <v>1001</v>
      </c>
      <c r="J89">
        <v>1001</v>
      </c>
      <c r="K89">
        <v>1001</v>
      </c>
      <c r="L89">
        <v>1001</v>
      </c>
      <c r="M89">
        <v>1296.4545454545455</v>
      </c>
    </row>
    <row r="90" spans="1:13">
      <c r="A90" t="s">
        <v>208</v>
      </c>
      <c r="B90">
        <v>3001</v>
      </c>
      <c r="C90">
        <v>1501</v>
      </c>
      <c r="D90">
        <v>1501</v>
      </c>
      <c r="E90">
        <v>751</v>
      </c>
      <c r="F90">
        <v>1001</v>
      </c>
      <c r="G90">
        <v>1501</v>
      </c>
      <c r="H90">
        <v>1001</v>
      </c>
      <c r="I90">
        <v>1001</v>
      </c>
      <c r="J90">
        <v>1001</v>
      </c>
      <c r="K90">
        <v>1001</v>
      </c>
      <c r="L90">
        <v>1001</v>
      </c>
      <c r="M90">
        <v>1296.4545454545455</v>
      </c>
    </row>
    <row r="91" spans="1:13">
      <c r="A91" t="s">
        <v>129</v>
      </c>
      <c r="B91">
        <v>3001</v>
      </c>
      <c r="C91">
        <v>1501</v>
      </c>
      <c r="D91">
        <v>1501</v>
      </c>
      <c r="E91">
        <v>751</v>
      </c>
      <c r="F91">
        <v>1001</v>
      </c>
      <c r="G91">
        <v>2001</v>
      </c>
      <c r="H91">
        <v>1001</v>
      </c>
      <c r="I91">
        <v>1001</v>
      </c>
      <c r="J91">
        <v>1001</v>
      </c>
      <c r="K91">
        <v>1001</v>
      </c>
      <c r="L91">
        <v>1001</v>
      </c>
      <c r="M91">
        <v>1341.909090909091</v>
      </c>
    </row>
    <row r="92" spans="1:13">
      <c r="A92" t="s">
        <v>209</v>
      </c>
      <c r="B92">
        <v>4001</v>
      </c>
      <c r="C92">
        <v>2001</v>
      </c>
      <c r="D92">
        <v>2001</v>
      </c>
      <c r="E92">
        <v>751</v>
      </c>
      <c r="F92">
        <v>1001</v>
      </c>
      <c r="G92">
        <v>2501</v>
      </c>
      <c r="H92">
        <v>1001</v>
      </c>
      <c r="I92">
        <v>1001</v>
      </c>
      <c r="J92">
        <v>1001</v>
      </c>
      <c r="K92">
        <v>1001</v>
      </c>
      <c r="L92">
        <v>1001</v>
      </c>
      <c r="M92">
        <v>1569.1818181818182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tabSelected="1" workbookViewId="0">
      <selection activeCell="M4" sqref="M4:M7"/>
    </sheetView>
  </sheetViews>
  <sheetFormatPr defaultRowHeight="14"/>
  <cols>
    <col min="1" max="1" width="15" bestFit="1" customWidth="1"/>
    <col min="2" max="2" width="24" customWidth="1"/>
    <col min="3" max="3" width="12" customWidth="1"/>
    <col min="4" max="4" width="14" customWidth="1"/>
    <col min="5" max="5" width="7.9140625" bestFit="1" customWidth="1"/>
    <col min="6" max="6" width="14.9140625" bestFit="1" customWidth="1"/>
    <col min="7" max="8" width="14" customWidth="1"/>
    <col min="9" max="9" width="19.6640625" bestFit="1" customWidth="1"/>
    <col min="10" max="10" width="20" customWidth="1"/>
    <col min="12" max="12" width="8" customWidth="1"/>
    <col min="13" max="13" width="24" customWidth="1"/>
    <col min="14" max="14" width="12" customWidth="1"/>
    <col min="15" max="15" width="14" customWidth="1"/>
    <col min="16" max="16" width="12" customWidth="1"/>
    <col min="17" max="20" width="14" customWidth="1"/>
    <col min="21" max="21" width="20" customWidth="1"/>
  </cols>
  <sheetData>
    <row r="1" spans="1:21" ht="14.65" customHeight="1">
      <c r="A1" s="9" t="s">
        <v>212</v>
      </c>
      <c r="B1" s="9" t="s">
        <v>132</v>
      </c>
      <c r="C1" s="9" t="s">
        <v>132</v>
      </c>
      <c r="D1" s="9" t="s">
        <v>132</v>
      </c>
      <c r="E1" s="9" t="s">
        <v>132</v>
      </c>
      <c r="F1" s="9" t="s">
        <v>132</v>
      </c>
      <c r="G1" s="9" t="s">
        <v>132</v>
      </c>
      <c r="H1" s="9" t="s">
        <v>132</v>
      </c>
      <c r="I1" s="9" t="s">
        <v>132</v>
      </c>
      <c r="J1" s="9" t="s">
        <v>132</v>
      </c>
      <c r="L1" s="9" t="s">
        <v>213</v>
      </c>
      <c r="M1" s="9" t="s">
        <v>133</v>
      </c>
      <c r="N1" s="9" t="s">
        <v>133</v>
      </c>
      <c r="O1" s="9" t="s">
        <v>133</v>
      </c>
      <c r="P1" s="9" t="s">
        <v>133</v>
      </c>
      <c r="Q1" s="9" t="s">
        <v>133</v>
      </c>
      <c r="R1" s="9" t="s">
        <v>133</v>
      </c>
      <c r="S1" s="9" t="s">
        <v>133</v>
      </c>
      <c r="T1" s="9" t="s">
        <v>133</v>
      </c>
      <c r="U1" s="9" t="s">
        <v>133</v>
      </c>
    </row>
    <row r="2" spans="1:21" ht="14.65" customHeight="1"/>
    <row r="3" spans="1:21" ht="14.65" customHeight="1">
      <c r="A3" s="5" t="s">
        <v>134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45</v>
      </c>
      <c r="G3" s="5" t="s">
        <v>135</v>
      </c>
      <c r="H3" s="5" t="s">
        <v>136</v>
      </c>
      <c r="I3" s="5" t="s">
        <v>137</v>
      </c>
      <c r="J3" s="5" t="s">
        <v>23</v>
      </c>
      <c r="L3" s="5" t="s">
        <v>134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45</v>
      </c>
      <c r="R3" s="5" t="s">
        <v>135</v>
      </c>
      <c r="S3" s="5" t="s">
        <v>136</v>
      </c>
      <c r="T3" s="5" t="s">
        <v>137</v>
      </c>
      <c r="U3" s="5" t="s">
        <v>23</v>
      </c>
    </row>
    <row r="4" spans="1:21">
      <c r="A4">
        <v>1</v>
      </c>
      <c r="C4" t="str">
        <f>IF(B4="","",VLOOKUP(B4,Field!$A$2:$D$92,2,FALSE))</f>
        <v/>
      </c>
      <c r="D4" t="str">
        <f>IF(B4="","",VLOOKUP(B4,Field!$A$2:$G$92,3,FALSE))</f>
        <v/>
      </c>
      <c r="E4" t="str">
        <f>IF(B4="","",VLOOKUP(B4,Field!$A$2:$D$92,4,FALSE))</f>
        <v/>
      </c>
      <c r="F4" t="str">
        <f>IF(C4="","",IF(C4&gt;30,"Y","N"))</f>
        <v/>
      </c>
      <c r="G4" t="s">
        <v>49</v>
      </c>
      <c r="H4" t="str">
        <f>IF(B4="","",IF(COUNTIF($B$4:$B$7,B4)+COUNTIF($M$4:$M$7,B4)&gt;1,"DUPLICATE","OK"))</f>
        <v/>
      </c>
      <c r="I4" t="str">
        <f>IF(B4="","",IF(C4&gt;Config!$B$8,"OK","TOP 10"))</f>
        <v/>
      </c>
      <c r="J4" t="str">
        <f>IF(B4="","Use dropdown","")</f>
        <v>Use dropdown</v>
      </c>
      <c r="L4">
        <v>1</v>
      </c>
      <c r="N4" t="str">
        <f>IF(M4="","",VLOOKUP(M4,Field!$A$2:$D$92,2,FALSE))</f>
        <v/>
      </c>
      <c r="O4" t="str">
        <f>IF(M4="","",VLOOKUP(M4,Field!$A$2:$G$92,3,FALSE))</f>
        <v/>
      </c>
      <c r="P4" t="str">
        <f>IF(M4="","",VLOOKUP(M4,Field!$A$2:$D$92,4,FALSE))</f>
        <v/>
      </c>
      <c r="Q4" t="str">
        <f>IF(N4="","",IF(N4&gt;30,"Y","N"))</f>
        <v/>
      </c>
      <c r="R4" t="s">
        <v>49</v>
      </c>
      <c r="S4" t="str">
        <f>IF(M4="","",IF(COUNTIF($B$4:$B$7,M4)+COUNTIF($M$4:$M$7,M4)&gt;1,"DUPLICATE","OK"))</f>
        <v/>
      </c>
      <c r="T4" t="str">
        <f>IF(M4="","",IF(N4&gt;Config!$B$8,"OK","TOP 10"))</f>
        <v/>
      </c>
      <c r="U4" t="str">
        <f>IF(M4="","Use dropdown","")</f>
        <v>Use dropdown</v>
      </c>
    </row>
    <row r="5" spans="1:21">
      <c r="A5">
        <v>2</v>
      </c>
      <c r="C5" t="str">
        <f>IF(B5="","",VLOOKUP(B5,Field!$A$2:$D$92,2,FALSE))</f>
        <v/>
      </c>
      <c r="D5" t="str">
        <f>IF(B5="","",VLOOKUP(B5,Field!$A$2:$G$92,3,FALSE))</f>
        <v/>
      </c>
      <c r="E5" t="str">
        <f>IF(B5="","",VLOOKUP(B5,Field!$A$2:$D$92,4,FALSE))</f>
        <v/>
      </c>
      <c r="F5" t="str">
        <f>IF(C5="","",IF(C5&gt;30,"Y","N"))</f>
        <v/>
      </c>
      <c r="H5" t="str">
        <f>IF(B5="","",IF(COUNTIF($B$4:$B$7,B5)+COUNTIF($M$4:$M$7,B5)&gt;1,"DUPLICATE","OK"))</f>
        <v/>
      </c>
      <c r="I5" t="str">
        <f>IF(B5="","",IF(C5&gt;Config!$B$8,"OK","TOP 10"))</f>
        <v/>
      </c>
      <c r="J5" t="str">
        <f>IF(B5="","Use dropdown","")</f>
        <v>Use dropdown</v>
      </c>
      <c r="L5">
        <v>2</v>
      </c>
      <c r="N5" t="str">
        <f>IF(M5="","",VLOOKUP(M5,Field!$A$2:$D$92,2,FALSE))</f>
        <v/>
      </c>
      <c r="O5" t="str">
        <f>IF(M5="","",VLOOKUP(M5,Field!$A$2:$G$92,3,FALSE))</f>
        <v/>
      </c>
      <c r="P5" t="str">
        <f>IF(M5="","",VLOOKUP(M5,Field!$A$2:$D$92,4,FALSE))</f>
        <v/>
      </c>
      <c r="Q5" t="str">
        <f>IF(N5="","",IF(N5&gt;30,"Y","N"))</f>
        <v/>
      </c>
      <c r="S5" t="str">
        <f>IF(M5="","",IF(COUNTIF($B$4:$B$7,M5)+COUNTIF($M$4:$M$7,M5)&gt;1,"DUPLICATE","OK"))</f>
        <v/>
      </c>
      <c r="T5" t="str">
        <f>IF(M5="","",IF(N5&gt;Config!$B$8,"OK","TOP 10"))</f>
        <v/>
      </c>
      <c r="U5" t="str">
        <f>IF(M5="","Use dropdown","")</f>
        <v>Use dropdown</v>
      </c>
    </row>
    <row r="6" spans="1:21">
      <c r="A6">
        <v>3</v>
      </c>
      <c r="C6" t="str">
        <f>IF(B6="","",VLOOKUP(B6,Field!$A$2:$D$92,2,FALSE))</f>
        <v/>
      </c>
      <c r="D6" t="str">
        <f>IF(B6="","",VLOOKUP(B6,Field!$A$2:$G$92,3,FALSE))</f>
        <v/>
      </c>
      <c r="E6" t="str">
        <f>IF(B6="","",VLOOKUP(B6,Field!$A$2:$D$92,4,FALSE))</f>
        <v/>
      </c>
      <c r="F6" t="str">
        <f>IF(C6="","",IF(C6&gt;30,"Y","N"))</f>
        <v/>
      </c>
      <c r="H6" t="str">
        <f>IF(B6="","",IF(COUNTIF($B$4:$B$7,B6)+COUNTIF($M$4:$M$7,B6)&gt;1,"DUPLICATE","OK"))</f>
        <v/>
      </c>
      <c r="I6" t="str">
        <f>IF(B6="","",IF(C6&gt;Config!$B$8,"OK","TOP 10"))</f>
        <v/>
      </c>
      <c r="J6" t="str">
        <f>IF(B6="","Use dropdown","")</f>
        <v>Use dropdown</v>
      </c>
      <c r="L6">
        <v>3</v>
      </c>
      <c r="N6" t="str">
        <f>IF(M6="","",VLOOKUP(M6,Field!$A$2:$D$92,2,FALSE))</f>
        <v/>
      </c>
      <c r="O6" t="str">
        <f>IF(M6="","",VLOOKUP(M6,Field!$A$2:$G$92,3,FALSE))</f>
        <v/>
      </c>
      <c r="P6" t="str">
        <f>IF(M6="","",VLOOKUP(M6,Field!$A$2:$D$92,4,FALSE))</f>
        <v/>
      </c>
      <c r="Q6" t="str">
        <f>IF(N6="","",IF(N6&gt;30,"Y","N"))</f>
        <v/>
      </c>
      <c r="S6" t="str">
        <f>IF(M6="","",IF(COUNTIF($B$4:$B$7,M6)+COUNTIF($M$4:$M$7,M6)&gt;1,"DUPLICATE","OK"))</f>
        <v/>
      </c>
      <c r="T6" t="str">
        <f>IF(M6="","",IF(N6&gt;Config!$B$8,"OK","TOP 10"))</f>
        <v/>
      </c>
      <c r="U6" t="str">
        <f>IF(M6="","Use dropdown","")</f>
        <v>Use dropdown</v>
      </c>
    </row>
    <row r="7" spans="1:21">
      <c r="A7">
        <v>4</v>
      </c>
      <c r="C7" t="str">
        <f>IF(B7="","",VLOOKUP(B7,Field!$A$2:$D$92,2,FALSE))</f>
        <v/>
      </c>
      <c r="D7" t="str">
        <f>IF(B7="","",VLOOKUP(B7,Field!$A$2:$G$92,3,FALSE))</f>
        <v/>
      </c>
      <c r="E7" t="str">
        <f>IF(B7="","",VLOOKUP(B7,Field!$A$2:$D$92,4,FALSE))</f>
        <v/>
      </c>
      <c r="F7" t="str">
        <f>IF(C7="","",IF(C7&gt;30,"Y","N"))</f>
        <v/>
      </c>
      <c r="H7" t="str">
        <f>IF(B7="","",IF(COUNTIF($B$4:$B$7,B7)+COUNTIF($M$4:$M$7,B7)&gt;1,"DUPLICATE","OK"))</f>
        <v/>
      </c>
      <c r="I7" t="str">
        <f>IF(B7="","",IF(C7&gt;Config!$B$8,"OK","TOP 10"))</f>
        <v/>
      </c>
      <c r="J7" t="str">
        <f>IF(B7="","Use dropdown","")</f>
        <v>Use dropdown</v>
      </c>
      <c r="L7">
        <v>4</v>
      </c>
      <c r="N7" t="str">
        <f>IF(M7="","",VLOOKUP(M7,Field!$A$2:$D$92,2,FALSE))</f>
        <v/>
      </c>
      <c r="O7" t="str">
        <f>IF(M7="","",VLOOKUP(M7,Field!$A$2:$G$92,3,FALSE))</f>
        <v/>
      </c>
      <c r="P7" t="str">
        <f>IF(M7="","",VLOOKUP(M7,Field!$A$2:$D$92,4,FALSE))</f>
        <v/>
      </c>
      <c r="Q7" t="str">
        <f>IF(N7="","",IF(N7&gt;30,"Y","N"))</f>
        <v/>
      </c>
      <c r="S7" t="str">
        <f>IF(M7="","",IF(COUNTIF($B$4:$B$7,M7)+COUNTIF($M$4:$M$7,M7)&gt;1,"DUPLICATE","OK"))</f>
        <v/>
      </c>
      <c r="T7" t="str">
        <f>IF(M7="","",IF(N7&gt;Config!$B$8,"OK","TOP 10"))</f>
        <v/>
      </c>
      <c r="U7" t="str">
        <f>IF(M7="","Use dropdown","")</f>
        <v>Use dropdown</v>
      </c>
    </row>
    <row r="10" spans="1:21">
      <c r="A10" s="10" t="s">
        <v>138</v>
      </c>
      <c r="B10" s="10" t="s">
        <v>138</v>
      </c>
      <c r="C10" s="10" t="s">
        <v>138</v>
      </c>
      <c r="D10" s="10" t="s">
        <v>138</v>
      </c>
      <c r="E10" s="10" t="s">
        <v>138</v>
      </c>
      <c r="F10" s="10" t="s">
        <v>138</v>
      </c>
      <c r="L10" s="10" t="s">
        <v>139</v>
      </c>
      <c r="M10" s="10" t="s">
        <v>139</v>
      </c>
      <c r="N10" s="10" t="s">
        <v>139</v>
      </c>
      <c r="O10" s="10" t="s">
        <v>139</v>
      </c>
      <c r="P10" s="10" t="s">
        <v>139</v>
      </c>
      <c r="Q10" s="10" t="s">
        <v>139</v>
      </c>
    </row>
    <row r="11" spans="1:21">
      <c r="A11" s="5" t="s">
        <v>140</v>
      </c>
      <c r="B11" s="5" t="s">
        <v>141</v>
      </c>
      <c r="D11" s="5" t="s">
        <v>140</v>
      </c>
      <c r="E11" s="5" t="s">
        <v>22</v>
      </c>
      <c r="L11" s="5" t="s">
        <v>140</v>
      </c>
      <c r="M11" s="5" t="s">
        <v>141</v>
      </c>
      <c r="O11" s="5" t="s">
        <v>140</v>
      </c>
      <c r="P11" s="5" t="s">
        <v>22</v>
      </c>
    </row>
    <row r="12" spans="1:21">
      <c r="A12" t="s">
        <v>142</v>
      </c>
      <c r="B12" t="str">
        <f>IF(COUNTA($B$4:$B$7)=4,"OK","INCOMPLETE")</f>
        <v>INCOMPLETE</v>
      </c>
      <c r="D12" t="s">
        <v>143</v>
      </c>
      <c r="E12">
        <f>COUNTIF($G$4:$G$7,"Y")</f>
        <v>1</v>
      </c>
      <c r="L12" t="s">
        <v>142</v>
      </c>
      <c r="M12" t="str">
        <f>IF(COUNTA($M$4:$M$7)=4,"OK","INCOMPLETE")</f>
        <v>INCOMPLETE</v>
      </c>
      <c r="O12" t="s">
        <v>143</v>
      </c>
      <c r="P12">
        <f>COUNTIF($R$4:$R$7,"Y")</f>
        <v>1</v>
      </c>
    </row>
    <row r="13" spans="1:21">
      <c r="A13" t="s">
        <v>24</v>
      </c>
      <c r="B13" t="str">
        <f>IF(SUM($E$4:$E$7)&lt;=Config!$B$2,"OK","OVER CAP")</f>
        <v>OK</v>
      </c>
      <c r="D13" t="s">
        <v>144</v>
      </c>
      <c r="E13" t="str">
        <f>IF(AND(B12="OK",B13="OK",B14="OK",B15="OK",B16="OK",B17="OK",E12=1,E15="NO"),"VALID","INVALID")</f>
        <v>INVALID</v>
      </c>
      <c r="L13" t="s">
        <v>24</v>
      </c>
      <c r="M13" t="str">
        <f>IF(SUM($P$4:$P$7)&lt;=Config!$B$2,"OK","OVER CAP")</f>
        <v>OK</v>
      </c>
      <c r="O13" t="s">
        <v>144</v>
      </c>
      <c r="P13" t="str">
        <f>IF(AND(M12="OK",M13="OK",M14="OK",M15="OK",M16="OK",M17="OK",P12=1,P15="NO"),"VALID","INVALID")</f>
        <v>INVALID</v>
      </c>
    </row>
    <row r="14" spans="1:21">
      <c r="A14" t="s">
        <v>145</v>
      </c>
      <c r="B14" t="str">
        <f>IF(COUNTIF($D$4:$D$7,"USA")&gt;=1,"OK","MISSING")</f>
        <v>MISSING</v>
      </c>
      <c r="D14" t="s">
        <v>146</v>
      </c>
      <c r="E14">
        <f>SUM($E$4:$E$7)</f>
        <v>0</v>
      </c>
      <c r="L14" t="s">
        <v>145</v>
      </c>
      <c r="M14" t="str">
        <f>IF(COUNTIF($O$4:$O$7,"USA")&gt;=1,"OK","MISSING")</f>
        <v>MISSING</v>
      </c>
      <c r="O14" t="s">
        <v>146</v>
      </c>
      <c r="P14">
        <f>SUM($P$4:$P$7)</f>
        <v>0</v>
      </c>
    </row>
    <row r="15" spans="1:21">
      <c r="A15" t="s">
        <v>147</v>
      </c>
      <c r="B15" t="str">
        <f>IF(COUNTIF($D$4:$D$7,"EU")&gt;=1,"OK","MISSING")</f>
        <v>MISSING</v>
      </c>
      <c r="D15" t="s">
        <v>148</v>
      </c>
      <c r="E15" t="str">
        <f>IF(COUNTIF($H$4:$H$7,"DUPLICATE")+COUNTIF($S$4:$S$7,"DUPLICATE")&gt;0,"YES","NO")</f>
        <v>NO</v>
      </c>
      <c r="L15" t="s">
        <v>147</v>
      </c>
      <c r="M15" t="str">
        <f>IF(COUNTIF($O$4:$O$7,"EU")&gt;=1,"OK","MISSING")</f>
        <v>MISSING</v>
      </c>
      <c r="O15" t="s">
        <v>148</v>
      </c>
      <c r="P15" t="str">
        <f>IF(COUNTIF($H$4:$H$7,"DUPLICATE")+COUNTIF($S$4:$S$7,"DUPLICATE")&gt;0,"YES","NO")</f>
        <v>NO</v>
      </c>
    </row>
    <row r="16" spans="1:21">
      <c r="A16" t="s">
        <v>149</v>
      </c>
      <c r="B16" t="str">
        <f>IF(COUNTIF($D$4:$D$7,"ROW")&gt;=1,"OK","MISSING")</f>
        <v>MISSING</v>
      </c>
      <c r="L16" t="s">
        <v>149</v>
      </c>
      <c r="M16" t="str">
        <f>IF(COUNTIF($O$4:$O$7,"ROW")&gt;=1,"OK","MISSING")</f>
        <v>MISSING</v>
      </c>
    </row>
    <row r="17" spans="1:13">
      <c r="A17" t="s">
        <v>150</v>
      </c>
      <c r="B17" t="str">
        <f>IF(COUNTIF($F$4:$F$7,"Y")&gt;=1,"OK","MISSING")</f>
        <v>MISSING</v>
      </c>
      <c r="L17" t="s">
        <v>150</v>
      </c>
      <c r="M17" t="str">
        <f>IF(COUNTIF($Q$4:$Q$7,"Y")&gt;=1,"OK","MISSING")</f>
        <v>MISSING</v>
      </c>
    </row>
  </sheetData>
  <mergeCells count="4">
    <mergeCell ref="A1:J1"/>
    <mergeCell ref="L1:U1"/>
    <mergeCell ref="A10:F10"/>
    <mergeCell ref="L10:Q10"/>
  </mergeCells>
  <conditionalFormatting sqref="B12:B17">
    <cfRule type="expression" dxfId="23" priority="1">
      <formula>OR(B12="OK")</formula>
    </cfRule>
    <cfRule type="expression" dxfId="22" priority="2">
      <formula>OR(B12="INCOMPLETE",B12="OVER CAP",B12="MISSING")</formula>
    </cfRule>
  </conditionalFormatting>
  <conditionalFormatting sqref="E13">
    <cfRule type="expression" dxfId="21" priority="5">
      <formula>E13="VALID"</formula>
    </cfRule>
    <cfRule type="expression" dxfId="20" priority="6">
      <formula>E13="INVALID"</formula>
    </cfRule>
  </conditionalFormatting>
  <conditionalFormatting sqref="E15">
    <cfRule type="expression" dxfId="19" priority="9">
      <formula>E15="NO"</formula>
    </cfRule>
    <cfRule type="expression" dxfId="18" priority="10">
      <formula>E15="YES"</formula>
    </cfRule>
  </conditionalFormatting>
  <conditionalFormatting sqref="H4:H7">
    <cfRule type="expression" dxfId="17" priority="13">
      <formula>H4="OK"</formula>
    </cfRule>
    <cfRule type="expression" dxfId="16" priority="14">
      <formula>H4="DUPLICATE"</formula>
    </cfRule>
  </conditionalFormatting>
  <conditionalFormatting sqref="M12:M17">
    <cfRule type="expression" dxfId="15" priority="3">
      <formula>OR(M12="OK")</formula>
    </cfRule>
    <cfRule type="expression" dxfId="14" priority="4">
      <formula>OR(M12="INCOMPLETE",M12="OVER CAP",M12="MISSING")</formula>
    </cfRule>
  </conditionalFormatting>
  <conditionalFormatting sqref="P13">
    <cfRule type="expression" dxfId="13" priority="7">
      <formula>P13="VALID"</formula>
    </cfRule>
    <cfRule type="expression" dxfId="12" priority="8">
      <formula>P13="INVALID"</formula>
    </cfRule>
  </conditionalFormatting>
  <conditionalFormatting sqref="P15">
    <cfRule type="expression" dxfId="11" priority="11">
      <formula>P15="NO"</formula>
    </cfRule>
    <cfRule type="expression" dxfId="10" priority="12">
      <formula>P15="YES"</formula>
    </cfRule>
  </conditionalFormatting>
  <conditionalFormatting sqref="S4:S7">
    <cfRule type="expression" dxfId="9" priority="15">
      <formula>S4="OK"</formula>
    </cfRule>
    <cfRule type="expression" dxfId="8" priority="16">
      <formula>S4="DUPLICATE"</formula>
    </cfRule>
  </conditionalFormatting>
  <dataValidations count="1">
    <dataValidation type="list" sqref="G4:G7 R4:R7" xr:uid="{00000000-0002-0000-0300-000002000000}">
      <formula1>"N,Y"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Field!$A$2:$A$92</xm:f>
          </x14:formula1>
          <xm:sqref>B4:B7 M4:M7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5"/>
  <sheetViews>
    <sheetView workbookViewId="0">
      <selection activeCell="X4" sqref="X4"/>
    </sheetView>
  </sheetViews>
  <sheetFormatPr defaultRowHeight="14"/>
  <cols>
    <col min="1" max="1" width="8" customWidth="1"/>
    <col min="2" max="2" width="24" customWidth="1"/>
    <col min="3" max="4" width="10" customWidth="1"/>
    <col min="5" max="8" width="8" customWidth="1"/>
    <col min="9" max="9" width="24" customWidth="1"/>
    <col min="10" max="10" width="10" customWidth="1"/>
    <col min="11" max="11" width="16" customWidth="1"/>
    <col min="12" max="15" width="10" customWidth="1"/>
    <col min="16" max="16" width="12" customWidth="1"/>
    <col min="17" max="17" width="8" customWidth="1"/>
    <col min="18" max="18" width="24" customWidth="1"/>
    <col min="19" max="20" width="10" customWidth="1"/>
    <col min="21" max="24" width="8" customWidth="1"/>
    <col min="25" max="25" width="24" customWidth="1"/>
    <col min="26" max="26" width="10" customWidth="1"/>
    <col min="27" max="27" width="16" customWidth="1"/>
    <col min="28" max="31" width="10" customWidth="1"/>
    <col min="32" max="32" width="12" customWidth="1"/>
  </cols>
  <sheetData>
    <row r="1" spans="1:32" ht="14.65" customHeight="1">
      <c r="A1" s="9" t="s">
        <v>151</v>
      </c>
      <c r="B1" s="9" t="s">
        <v>151</v>
      </c>
      <c r="C1" s="9" t="s">
        <v>151</v>
      </c>
      <c r="D1" s="9" t="s">
        <v>151</v>
      </c>
      <c r="E1" s="9" t="s">
        <v>151</v>
      </c>
      <c r="F1" s="9" t="s">
        <v>151</v>
      </c>
      <c r="G1" s="9" t="s">
        <v>151</v>
      </c>
      <c r="H1" s="9" t="s">
        <v>151</v>
      </c>
      <c r="I1" s="9" t="s">
        <v>151</v>
      </c>
      <c r="J1" s="9" t="s">
        <v>151</v>
      </c>
      <c r="K1" s="9" t="s">
        <v>151</v>
      </c>
      <c r="L1" s="9" t="s">
        <v>151</v>
      </c>
      <c r="M1" s="9" t="s">
        <v>151</v>
      </c>
      <c r="N1" s="9" t="s">
        <v>151</v>
      </c>
      <c r="O1" s="9" t="s">
        <v>151</v>
      </c>
      <c r="Q1" s="9" t="s">
        <v>152</v>
      </c>
      <c r="R1" s="9" t="s">
        <v>152</v>
      </c>
      <c r="S1" s="9" t="s">
        <v>152</v>
      </c>
      <c r="T1" s="9" t="s">
        <v>152</v>
      </c>
      <c r="U1" s="9" t="s">
        <v>152</v>
      </c>
      <c r="V1" s="9" t="s">
        <v>152</v>
      </c>
      <c r="W1" s="9" t="s">
        <v>152</v>
      </c>
      <c r="X1" s="9" t="s">
        <v>152</v>
      </c>
      <c r="Y1" s="9" t="s">
        <v>152</v>
      </c>
      <c r="Z1" s="9" t="s">
        <v>152</v>
      </c>
      <c r="AA1" s="9" t="s">
        <v>152</v>
      </c>
      <c r="AB1" s="9" t="s">
        <v>152</v>
      </c>
      <c r="AC1" s="9" t="s">
        <v>152</v>
      </c>
      <c r="AD1" s="9" t="s">
        <v>152</v>
      </c>
      <c r="AE1" s="9" t="s">
        <v>152</v>
      </c>
    </row>
    <row r="2" spans="1:32" ht="14.65" customHeight="1"/>
    <row r="3" spans="1:32" ht="14.65" customHeight="1">
      <c r="A3" s="5" t="s">
        <v>134</v>
      </c>
      <c r="B3" s="5" t="s">
        <v>153</v>
      </c>
      <c r="C3" s="5" t="s">
        <v>135</v>
      </c>
      <c r="D3" s="5" t="s">
        <v>154</v>
      </c>
      <c r="E3" s="5" t="s">
        <v>155</v>
      </c>
      <c r="F3" s="5" t="s">
        <v>156</v>
      </c>
      <c r="G3" s="5" t="s">
        <v>157</v>
      </c>
      <c r="H3" s="5" t="s">
        <v>158</v>
      </c>
      <c r="I3" s="5" t="s">
        <v>159</v>
      </c>
      <c r="J3" s="5" t="s">
        <v>160</v>
      </c>
      <c r="K3" s="5" t="s">
        <v>161</v>
      </c>
      <c r="L3" s="5" t="s">
        <v>162</v>
      </c>
      <c r="M3" s="5" t="s">
        <v>163</v>
      </c>
      <c r="N3" s="5" t="s">
        <v>164</v>
      </c>
      <c r="O3" s="5" t="s">
        <v>165</v>
      </c>
      <c r="P3" s="5" t="s">
        <v>166</v>
      </c>
      <c r="Q3" s="5" t="s">
        <v>134</v>
      </c>
      <c r="R3" s="5" t="s">
        <v>153</v>
      </c>
      <c r="S3" s="5" t="s">
        <v>135</v>
      </c>
      <c r="T3" s="5" t="s">
        <v>154</v>
      </c>
      <c r="U3" s="5" t="s">
        <v>155</v>
      </c>
      <c r="V3" s="5" t="s">
        <v>156</v>
      </c>
      <c r="W3" s="5" t="s">
        <v>157</v>
      </c>
      <c r="X3" s="5" t="s">
        <v>158</v>
      </c>
      <c r="Y3" s="5" t="s">
        <v>159</v>
      </c>
      <c r="Z3" s="5" t="s">
        <v>160</v>
      </c>
      <c r="AA3" s="5" t="s">
        <v>161</v>
      </c>
      <c r="AB3" s="5" t="s">
        <v>162</v>
      </c>
      <c r="AC3" s="5" t="s">
        <v>163</v>
      </c>
      <c r="AD3" s="5" t="s">
        <v>164</v>
      </c>
      <c r="AE3" s="5" t="s">
        <v>165</v>
      </c>
      <c r="AF3" s="5" t="s">
        <v>166</v>
      </c>
    </row>
    <row r="4" spans="1:32">
      <c r="A4">
        <v>1</v>
      </c>
      <c r="B4" t="str">
        <f>IF(Draft!B4="","",Draft!B4)</f>
        <v/>
      </c>
      <c r="C4" t="str">
        <f>IF(Draft!G4="","",Draft!G4)</f>
        <v>Y</v>
      </c>
      <c r="J4" t="str">
        <f>IF(I4="","",VLOOKUP(I4,Field!$A$2:$D$92,2,FALSE))</f>
        <v/>
      </c>
      <c r="K4" t="str">
        <f>IF(I4="","",IF(J4&gt;Config!$B$8,"OK","INVALID - TOP 10"))</f>
        <v/>
      </c>
      <c r="P4" t="str">
        <f>IF(B4="","",(IF(H4="Y",Config!$B$6 + IF(AND(I4&lt;&gt;"",K4="OK",L4&lt;=51),VLOOKUP(L4,Config!$A$11:$B$60,2,FALSE)+M4*Config!$B$3+N4*Config!$B$4+O4*Config!$B$5,0),IF(D4&lt;=51,VLOOKUP(D4,Config!$A$11:$B$60,2,FALSE)+E4*Config!$B$3+F4*Config!$B$4+G4*Config!$B$5,0)))*IF(C4="Y",Config!$B$7,1))</f>
        <v/>
      </c>
      <c r="Q4">
        <v>1</v>
      </c>
      <c r="R4" t="str">
        <f>IF(Draft!M4="","",Draft!M4)</f>
        <v/>
      </c>
      <c r="S4" t="str">
        <f>IF(Draft!R4="","",Draft!R4)</f>
        <v>Y</v>
      </c>
      <c r="Z4" t="str">
        <f>IF(Y4="","",VLOOKUP(Y4,Field!$A$2:$D$92,2,FALSE))</f>
        <v/>
      </c>
      <c r="AA4" t="str">
        <f>IF(Y4="","",IF(Z4&gt;Config!$B$8,"OK","INVALID - TOP 10"))</f>
        <v/>
      </c>
      <c r="AF4" t="str">
        <f>IF(R4="","",(IF(X4="Y",Config!$B$6 + IF(AND(Y4&lt;&gt;"",AA4="OK",AB4&lt;=51),VLOOKUP(AB4,Config!$A$11:$B$60,2,FALSE)+AC4*Config!$B$3+AD4*Config!$B$4+AE4*Config!$B$5,0),IF(T4&lt;=51,VLOOKUP(T4,Config!$A$11:$B$60,2,FALSE)+U4*Config!$B$3+V4*Config!$B$4+W4*Config!$B$5,0)))*IF(S4="Y",Config!$B$7,1))</f>
        <v/>
      </c>
    </row>
    <row r="5" spans="1:32">
      <c r="A5">
        <v>2</v>
      </c>
      <c r="B5" t="str">
        <f>IF(Draft!B5="","",Draft!B5)</f>
        <v/>
      </c>
      <c r="C5" t="str">
        <f>IF(Draft!G5="","",Draft!G5)</f>
        <v/>
      </c>
      <c r="J5" t="str">
        <f>IF(I5="","",VLOOKUP(I5,Field!$A$2:$D$92,2,FALSE))</f>
        <v/>
      </c>
      <c r="K5" t="str">
        <f>IF(I5="","",IF(J5&gt;Config!$B$8,"OK","INVALID - TOP 10"))</f>
        <v/>
      </c>
      <c r="P5" t="str">
        <f>IF(B5="","",(IF(H5="Y",Config!$B$6 + IF(AND(I5&lt;&gt;"",K5="OK",L5&lt;=51),VLOOKUP(L5,Config!$A$11:$B$56,2,FALSE)+M5*Config!$B$3+N5*Config!$B$4+O5*Config!$B$5,0),IF(D5&lt;=51,VLOOKUP(D5,Config!$A$11:$B$56,2,FALSE)+E5*Config!$B$3+F5*Config!$B$4+G5*Config!$B$5,0)))*IF(C5="Y",Config!$B$7,1))</f>
        <v/>
      </c>
      <c r="Q5">
        <v>2</v>
      </c>
      <c r="R5" t="str">
        <f>IF(Draft!M5="","",Draft!M5)</f>
        <v/>
      </c>
      <c r="S5" t="str">
        <f>IF(Draft!R5="","",Draft!R5)</f>
        <v/>
      </c>
      <c r="Z5" t="str">
        <f>IF(Y5="","",VLOOKUP(Y5,Field!$A$2:$D$92,2,FALSE))</f>
        <v/>
      </c>
      <c r="AA5" t="str">
        <f>IF(Y5="","",IF(Z5&gt;Config!$B$8,"OK","INVALID - TOP 10"))</f>
        <v/>
      </c>
      <c r="AF5" t="str">
        <f>IF(R5="","",(IF(X5="Y",Config!$B$6 + IF(AND(Y5&lt;&gt;"",AA5="OK",AB5&lt;=51),VLOOKUP(AB5,Config!$A$11:$B$60,2,FALSE)+AC5*Config!$B$3+AD5*Config!$B$4+AE5*Config!$B$5,0),IF(T5&lt;=51,VLOOKUP(T5,Config!$A$11:$B$60,2,FALSE)+U5*Config!$B$3+V5*Config!$B$4+W5*Config!$B$5,0)))*IF(S5="Y",Config!$B$7,1))</f>
        <v/>
      </c>
    </row>
    <row r="6" spans="1:32">
      <c r="A6">
        <v>3</v>
      </c>
      <c r="B6" t="str">
        <f>IF(Draft!B6="","",Draft!B6)</f>
        <v/>
      </c>
      <c r="C6" t="str">
        <f>IF(Draft!G6="","",Draft!G6)</f>
        <v/>
      </c>
      <c r="J6" t="str">
        <f>IF(I6="","",VLOOKUP(I6,Field!$A$2:$D$92,2,FALSE))</f>
        <v/>
      </c>
      <c r="K6" t="str">
        <f>IF(I6="","",IF(J6&gt;Config!$B$8,"OK","INVALID - TOP 10"))</f>
        <v/>
      </c>
      <c r="P6" t="str">
        <f>IF(B6="","",(IF(H6="Y",Config!$B$6 + IF(AND(I6&lt;&gt;"",K6="OK",L6&lt;=51),VLOOKUP(L6,Config!$A$11:$B$56,2,FALSE)+M6*Config!$B$3+N6*Config!$B$4+O6*Config!$B$5,0),IF(D6&lt;=51,VLOOKUP(D6,Config!$A$11:$B$56,2,FALSE)+E6*Config!$B$3+F6*Config!$B$4+G6*Config!$B$5,0)))*IF(C6="Y",Config!$B$7,1))</f>
        <v/>
      </c>
      <c r="Q6">
        <v>3</v>
      </c>
      <c r="R6" t="str">
        <f>IF(Draft!M6="","",Draft!M6)</f>
        <v/>
      </c>
      <c r="S6" t="str">
        <f>IF(Draft!R6="","",Draft!R6)</f>
        <v/>
      </c>
      <c r="Z6" t="str">
        <f>IF(Y6="","",VLOOKUP(Y6,Field!$A$2:$D$92,2,FALSE))</f>
        <v/>
      </c>
      <c r="AA6" t="str">
        <f>IF(Y6="","",IF(Z6&gt;Config!$B$8,"OK","INVALID - TOP 10"))</f>
        <v/>
      </c>
      <c r="AF6" t="str">
        <f>IF(R6="","",(IF(X6="Y",Config!$B$6 + IF(AND(Y6&lt;&gt;"",AA6="OK",AB6&lt;=51),VLOOKUP(AB6,Config!$A$11:$B$60,2,FALSE)+AC6*Config!$B$3+AD6*Config!$B$4+AE6*Config!$B$5,0),IF(T6&lt;=51,VLOOKUP(T6,Config!$A$11:$B$60,2,FALSE)+U6*Config!$B$3+V6*Config!$B$4+W6*Config!$B$5,0)))*IF(S6="Y",Config!$B$7,1))</f>
        <v/>
      </c>
    </row>
    <row r="7" spans="1:32">
      <c r="A7">
        <v>4</v>
      </c>
      <c r="B7" t="str">
        <f>IF(Draft!B7="","",Draft!B7)</f>
        <v/>
      </c>
      <c r="C7" t="str">
        <f>IF(Draft!G7="","",Draft!G7)</f>
        <v/>
      </c>
      <c r="J7" t="str">
        <f>IF(I7="","",VLOOKUP(I7,Field!$A$2:$D$92,2,FALSE))</f>
        <v/>
      </c>
      <c r="K7" t="str">
        <f>IF(I7="","",IF(J7&gt;Config!$B$8,"OK","INVALID - TOP 10"))</f>
        <v/>
      </c>
      <c r="P7" t="str">
        <f>IF(B7="","",(IF(H7="Y",Config!$B$6 + IF(AND(I7&lt;&gt;"",K7="OK",L7&lt;=51),VLOOKUP(L7,Config!$A$11:$B$56,2,FALSE)+M7*Config!$B$3+N7*Config!$B$4+O7*Config!$B$5,0),IF(D7&lt;=51,VLOOKUP(D7,Config!$A$11:$B$56,2,FALSE)+E7*Config!$B$3+F7*Config!$B$4+G7*Config!$B$5,0)))*IF(C7="Y",Config!$B$7,1))</f>
        <v/>
      </c>
      <c r="Q7">
        <v>4</v>
      </c>
      <c r="R7" t="str">
        <f>IF(Draft!M7="","",Draft!M7)</f>
        <v/>
      </c>
      <c r="S7" t="str">
        <f>IF(Draft!R7="","",Draft!R7)</f>
        <v/>
      </c>
      <c r="Z7" t="str">
        <f>IF(Y7="","",VLOOKUP(Y7,Field!$A$2:$D$92,2,FALSE))</f>
        <v/>
      </c>
      <c r="AA7" t="str">
        <f>IF(Y7="","",IF(Z7&gt;Config!$B$8,"OK","INVALID - TOP 10"))</f>
        <v/>
      </c>
      <c r="AF7" t="str">
        <f>IF(R7="","",(IF(X7="Y",Config!$B$6 + IF(AND(Y7&lt;&gt;"",AA7="OK",AB7&lt;=51),VLOOKUP(AB7,Config!$A$11:$B$60,2,FALSE)+AC7*Config!$B$3+AD7*Config!$B$4+AE7*Config!$B$5,0),IF(T7&lt;=51,VLOOKUP(T7,Config!$A$11:$B$60,2,FALSE)+U7*Config!$B$3+V7*Config!$B$4+W7*Config!$B$5,0)))*IF(S7="Y",Config!$B$7,1))</f>
        <v/>
      </c>
    </row>
    <row r="15" spans="1:32">
      <c r="O15" t="s">
        <v>211</v>
      </c>
    </row>
  </sheetData>
  <mergeCells count="2">
    <mergeCell ref="A1:O1"/>
    <mergeCell ref="Q1:AE1"/>
  </mergeCells>
  <conditionalFormatting sqref="K4:K7">
    <cfRule type="expression" dxfId="7" priority="1">
      <formula>K4="OK"</formula>
    </cfRule>
    <cfRule type="expression" dxfId="6" priority="2">
      <formula>LEFT(K4,7)="INVALID"</formula>
    </cfRule>
  </conditionalFormatting>
  <conditionalFormatting sqref="AA4:AA7">
    <cfRule type="expression" dxfId="5" priority="3">
      <formula>AA4="OK"</formula>
    </cfRule>
    <cfRule type="expression" dxfId="4" priority="4">
      <formula>LEFT(AA4,7)="INVALID"</formula>
    </cfRule>
  </conditionalFormatting>
  <dataValidations count="1">
    <dataValidation type="list" sqref="H4:H7 X4:X7" xr:uid="{00000000-0002-0000-0400-000000000000}">
      <formula1>"N,Y"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2000000}">
          <x14:formula1>
            <xm:f>Field!$A$2:$A$92</xm:f>
          </x14:formula1>
          <xm:sqref>I4:I7 Y4:Y7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C10" sqref="C10"/>
    </sheetView>
  </sheetViews>
  <sheetFormatPr defaultRowHeight="14"/>
  <cols>
    <col min="1" max="1" width="20" customWidth="1"/>
    <col min="2" max="2" width="18" customWidth="1"/>
    <col min="4" max="6" width="14" customWidth="1"/>
  </cols>
  <sheetData>
    <row r="1" spans="1:8" ht="14.65" customHeight="1">
      <c r="A1" s="8" t="s">
        <v>167</v>
      </c>
      <c r="B1" s="8" t="s">
        <v>167</v>
      </c>
      <c r="C1" s="8" t="s">
        <v>167</v>
      </c>
      <c r="D1" s="8" t="s">
        <v>167</v>
      </c>
      <c r="E1" s="8" t="s">
        <v>167</v>
      </c>
      <c r="F1" s="8" t="s">
        <v>167</v>
      </c>
      <c r="G1" s="8" t="s">
        <v>167</v>
      </c>
      <c r="H1" s="8" t="s">
        <v>167</v>
      </c>
    </row>
    <row r="2" spans="1:8" ht="14.65" customHeight="1"/>
    <row r="3" spans="1:8" ht="14.65" customHeight="1">
      <c r="A3" s="6" t="s">
        <v>140</v>
      </c>
      <c r="B3" s="6" t="s">
        <v>22</v>
      </c>
      <c r="D3" s="5" t="s">
        <v>134</v>
      </c>
      <c r="E3" s="5" t="s">
        <v>168</v>
      </c>
      <c r="F3" s="5" t="s">
        <v>169</v>
      </c>
    </row>
    <row r="4" spans="1:8">
      <c r="A4" s="1" t="s">
        <v>170</v>
      </c>
      <c r="B4" s="1">
        <f>SUM(Results!P4:P7)</f>
        <v>0</v>
      </c>
      <c r="D4">
        <v>1</v>
      </c>
      <c r="E4" t="str">
        <f>Results!P4</f>
        <v/>
      </c>
      <c r="F4" t="str">
        <f>Results!AF4</f>
        <v/>
      </c>
    </row>
    <row r="5" spans="1:8">
      <c r="A5" s="1" t="s">
        <v>171</v>
      </c>
      <c r="B5" s="1">
        <f>SUM(Results!AF4:AF7)</f>
        <v>0</v>
      </c>
      <c r="D5">
        <v>2</v>
      </c>
      <c r="E5" t="str">
        <f>Results!P5</f>
        <v/>
      </c>
      <c r="F5" t="str">
        <f>Results!AF5</f>
        <v/>
      </c>
    </row>
    <row r="6" spans="1:8">
      <c r="A6" s="1" t="s">
        <v>172</v>
      </c>
      <c r="B6" s="1" t="str">
        <f>IF(B4&gt;B5,"Player 1",IF(B5&gt;B4,"Player 2","Tie"))</f>
        <v>Tie</v>
      </c>
      <c r="D6">
        <v>3</v>
      </c>
      <c r="E6" t="str">
        <f>Results!P6</f>
        <v/>
      </c>
      <c r="F6" t="str">
        <f>Results!AF6</f>
        <v/>
      </c>
    </row>
    <row r="7" spans="1:8">
      <c r="A7" s="1"/>
      <c r="B7" s="1"/>
      <c r="D7">
        <v>4</v>
      </c>
      <c r="E7" t="str">
        <f>Results!P7</f>
        <v/>
      </c>
      <c r="F7" t="str">
        <f>Results!AF7</f>
        <v/>
      </c>
    </row>
    <row r="8" spans="1:8">
      <c r="A8" s="1" t="s">
        <v>173</v>
      </c>
      <c r="B8" s="1"/>
      <c r="D8" t="s">
        <v>174</v>
      </c>
      <c r="E8">
        <f>B4-B5</f>
        <v>0</v>
      </c>
    </row>
    <row r="9" spans="1:8" ht="28">
      <c r="A9" s="1" t="s">
        <v>175</v>
      </c>
      <c r="B9" s="1" t="s">
        <v>176</v>
      </c>
    </row>
    <row r="10" spans="1:8" ht="42">
      <c r="A10" s="1" t="s">
        <v>177</v>
      </c>
      <c r="B10" s="1" t="s">
        <v>178</v>
      </c>
    </row>
    <row r="11" spans="1:8" ht="42">
      <c r="A11" s="1" t="s">
        <v>179</v>
      </c>
      <c r="B11" s="1" t="s">
        <v>180</v>
      </c>
    </row>
    <row r="12" spans="1:8">
      <c r="A12" s="1" t="s">
        <v>181</v>
      </c>
      <c r="B12" s="1" t="s">
        <v>182</v>
      </c>
    </row>
  </sheetData>
  <mergeCells count="1">
    <mergeCell ref="A1:H1"/>
  </mergeCells>
  <conditionalFormatting sqref="A3:B6">
    <cfRule type="expression" dxfId="3" priority="1">
      <formula>B6="Player 1"</formula>
    </cfRule>
    <cfRule type="expression" dxfId="2" priority="2">
      <formula>B6="Player 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Rules</vt:lpstr>
      <vt:lpstr>Config</vt:lpstr>
      <vt:lpstr>Field</vt:lpstr>
      <vt:lpstr>Odd Rankings</vt:lpstr>
      <vt:lpstr>Draft</vt:lpstr>
      <vt:lpstr>Results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Lewis</dc:creator>
  <cp:lastModifiedBy>Seb Lewis</cp:lastModifiedBy>
  <dcterms:created xsi:type="dcterms:W3CDTF">2026-04-07T17:52:54Z</dcterms:created>
  <dcterms:modified xsi:type="dcterms:W3CDTF">2026-04-07T18:16:27Z</dcterms:modified>
</cp:coreProperties>
</file>